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s/slicer1.xml" ContentType="application/vnd.ms-excel.slicer+xml"/>
  <Override PartName="/xl/slicerCaches/slicerCache1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f65b2a4e044f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13e055f21954490"/>
    <x:sheet xmlns:r="http://schemas.openxmlformats.org/officeDocument/2006/relationships" name="Analysis" sheetId="2" r:id="R1a3205293b40459d"/>
    <x:sheet xmlns:r="http://schemas.openxmlformats.org/officeDocument/2006/relationships" name="Capacity" sheetId="3" r:id="R8c52cf5119ae4a1d"/>
    <x:sheet xmlns:r="http://schemas.openxmlformats.org/officeDocument/2006/relationships" name="Pivot Analysis" sheetId="4" r:id="R013eb42aed214532"/>
    <x:sheet xmlns:r="http://schemas.openxmlformats.org/officeDocument/2006/relationships" name="Detail" sheetId="5" r:id="R715288fd65cd4199"/>
    <x:sheet xmlns:r="http://schemas.openxmlformats.org/officeDocument/2006/relationships" name="Monthly Source" sheetId="6" r:id="Rd60e7c99b6df4f7a"/>
    <x:sheet xmlns:r="http://schemas.openxmlformats.org/officeDocument/2006/relationships" name="Lookups" sheetId="7" r:id="R1c072ea96ded4131"/>
    <x:sheet xmlns:r="http://schemas.openxmlformats.org/officeDocument/2006/relationships" name="UAT" sheetId="8" r:id="Rb47ab9c8a573448b"/>
    <x:sheet xmlns:r="http://schemas.openxmlformats.org/officeDocument/2006/relationships" name="Read Me" sheetId="9" r:id="R70fbe11b29414c37"/>
  </x:sheets>
  <x:calcPr calcId="191029" calcMode="auto" fullCalcOnLoad="1"/>
  <x:pivotCaches>
    <x:pivotCache xmlns:ns1="http://schemas.openxmlformats.org/officeDocument/2006/relationships" cacheId="1" ns1:id="rBankPivot"/>
  </x:pivotCaches>
  <x:extLst>
    <x:ext uri="{BBE1A952-AA13-448e-AADC-164F8A28A991}">
      <ns0:slicerCaches xmlns:ns0="http://schemas.microsoft.com/office/spreadsheetml/2009/9/main">
        <ns0:slicerCache xmlns:ns1="http://schemas.openxmlformats.org/officeDocument/2006/relationships" ns1:id="rBankSlicerCache"/>
      </ns0:slicerCach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#,##0"/>
    <x:numFmt numFmtId="202" formatCode="@"/>
    <x:numFmt numFmtId="203" formatCode="mm/dd/yy"/>
    <x:numFmt numFmtId="204" formatCode="0.0%"/>
    <x:numFmt numFmtId="205" formatCode="0%"/>
    <x:numFmt numFmtId="206" formatCode="0.0"/>
  </x:numFmts>
  <x:fonts count="5">
    <x:font>
      <x:sz val="11"/>
      <x:name val="Carlito"/>
    </x:font>
    <x:font>
      <x:sz val="11"/>
      <x:color rgb="FF293B52"/>
      <x:name val="Arial"/>
    </x:font>
    <x:font>
      <x:b/>
      <x:sz val="17"/>
      <x:color rgb="FF293B52"/>
      <x:name val="Arial"/>
    </x:font>
    <x:font>
      <x:b/>
      <x:sz val="11"/>
      <x:color rgb="FFFFFFFF"/>
      <x:name val="Arial"/>
    </x:font>
    <x:font>
      <x:b/>
      <x:sz val="11"/>
      <x:color rgb="FF293B5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607F9F"/>
      </x:patternFill>
    </x:fill>
    <x:fill>
      <x:patternFill patternType="solid">
        <x:fgColor rgb="FFFFF0C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6C2CE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 applyProtection="1">
      <x:alignment vertical="center"/>
      <x:protection locked="0"/>
    </x:xf>
    <x:xf numFmtId="205" fontId="1" fillId="3" borderId="0" xfId="0" applyNumberFormat="1" applyFont="1" applyFill="1" applyBorder="1" applyAlignment="1" applyProtection="1">
      <x:alignment vertical="center"/>
      <x:protection locked="0"/>
    </x:xf>
  </x:cellXfs>
  <x:cellStyles count="1">
    <x:cellStyle name="Normal" xfId="0"/>
  </x:cellStyles>
  <x:dxfs count="3">
    <x:dxf>
      <x:font>
        <x:color rgb="FF8E412B"/>
      </x:font>
      <x:fill>
        <x:patternFill patternType="solid">
          <x:bgColor rgb="FFF4DDD0"/>
        </x:patternFill>
      </x:fill>
    </x:dxf>
    <x:dxf>
      <x:font>
        <x:color rgb="FF8E412B"/>
      </x:font>
      <x:fill>
        <x:patternFill patternType="solid">
          <x:bgColor rgb="FFF4DDD0"/>
        </x:patternFill>
      </x:fill>
    </x:dxf>
    <x:dxf>
      <x:font>
        <x:b/>
        <x:color rgb="FF8E412B"/>
      </x:font>
      <x:fill>
        <x:patternFill patternType="solid">
          <x:bgColor rgb="FFF4DDD0"/>
        </x:patternFill>
      </x:fill>
    </x:dxf>
  </x:dxf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69ad28096a54fbc"/><Relationship Type="http://schemas.openxmlformats.org/officeDocument/2006/relationships/theme" Target="/xl/theme/theme1.xml" Id="R9baff68e640649d4"/><Relationship Type="http://schemas.openxmlformats.org/officeDocument/2006/relationships/sharedStrings" Target="/xl/sharedStrings.xml" Id="R8e78e107ede74265"/><Relationship Type="http://schemas.openxmlformats.org/officeDocument/2006/relationships/worksheet" Target="/xl/worksheets/sheet1.xml" Id="R613e055f21954490"/><Relationship Type="http://schemas.openxmlformats.org/officeDocument/2006/relationships/worksheet" Target="/xl/worksheets/sheet2.xml" Id="R1a3205293b40459d"/><Relationship Type="http://schemas.openxmlformats.org/officeDocument/2006/relationships/worksheet" Target="/xl/worksheets/sheet3.xml" Id="R8c52cf5119ae4a1d"/><Relationship Type="http://schemas.openxmlformats.org/officeDocument/2006/relationships/worksheet" Target="/xl/worksheets/sheet4.xml" Id="R013eb42aed214532"/><Relationship Type="http://schemas.openxmlformats.org/officeDocument/2006/relationships/worksheet" Target="/xl/worksheets/sheet5.xml" Id="R715288fd65cd4199"/><Relationship Type="http://schemas.openxmlformats.org/officeDocument/2006/relationships/worksheet" Target="/xl/worksheets/sheet6.xml" Id="Rd60e7c99b6df4f7a"/><Relationship Type="http://schemas.openxmlformats.org/officeDocument/2006/relationships/worksheet" Target="/xl/worksheets/sheet7.xml" Id="R1c072ea96ded4131"/><Relationship Type="http://schemas.openxmlformats.org/officeDocument/2006/relationships/worksheet" Target="/xl/worksheets/sheet8.xml" Id="Rb47ab9c8a573448b"/><Relationship Type="http://schemas.openxmlformats.org/officeDocument/2006/relationships/worksheet" Target="/xl/worksheets/sheet9.xml" Id="R70fbe11b29414c37"/><Relationship Id="rBankPivot" Type="http://schemas.openxmlformats.org/officeDocument/2006/relationships/pivotCacheDefinition" Target="pivotCache/pivotCacheDefinition1.xml"/><Relationship Id="rBankSlicerCache" Type="http://schemas.microsoft.com/office/2007/relationships/slicerCache" Target="slicerCaches/slicerCache1.xml"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1cc3c675d9466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17e79f1c92c42c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4fab1c23c5b49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Published complaints by month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Complaints</c:v>
          </c:tx>
          <c:spPr>
            <a:solidFill xmlns:a="http://schemas.openxmlformats.org/drawingml/2006/main">
              <a:srgbClr val="607F9F"/>
            </a:solidFill>
            <a:ln xmlns:a="http://schemas.openxmlformats.org/drawingml/2006/main" w="19050">
              <a:solidFill>
                <a:srgbClr val="607F9F"/>
              </a:solidFill>
              <a:prstDash val="solid"/>
            </a:ln>
          </c:spPr>
          <c:marker>
            <c:symbol val="none"/>
          </c:marker>
          <c:cat>
            <c:strRef>
              <c:f>'Analysis'!$G$9:$G$32</c:f>
              <c:strCache>
                <c:ptCount val="0"/>
              </c:strCache>
            </c:strRef>
          </c:cat>
          <c:val>
            <c:numRef>
              <c:f>'Analysis'!$B$9:$B$32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Records within weekly capacity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607F9F"/>
            </a:solidFill>
          </c:spPr>
          <c:invertIfNegative val="0"/>
          <c:cat>
            <c:strRef>
              <c:f>'Capacity'!$D$9:$D$10</c:f>
              <c:strCache>
                <c:ptCount val="0"/>
              </c:strCache>
            </c:strRef>
          </c:cat>
          <c:val>
            <c:numRef>
              <c:f>'Capacity'!$E$9:$E$10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Monthly published complaints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Complaints</c:v>
          </c:tx>
          <c:spPr>
            <a:solidFill xmlns:a="http://schemas.openxmlformats.org/drawingml/2006/main">
              <a:srgbClr val="607F9F"/>
            </a:solidFill>
          </c:spPr>
          <c:invertIfNegative val="0"/>
          <c:cat>
            <c:strRef>
              <c:f>'Pivot Analysis'!$A$9:$A$32</c:f>
              <c:strCache>
                <c:ptCount val="0"/>
              </c:strCache>
            </c:strRef>
          </c:cat>
          <c:val>
            <c:numRef>
              <c:f>'Pivot Analysis'!$B$9:$B$32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11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1cc3c675d9466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7e79f1c92c42c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fab1c23c5b49cf"/>
        </a:graphicData>
      </a:graphic>
    </xdr:graphicFrame>
    <xdr:clientData/>
  </xdr:twoCellAnchor>
  <xdr:twoCellAnchor>
    <xdr:from>
      <xdr:col>3</xdr:col>
      <xdr:colOff>0</xdr:colOff>
      <xdr:row>4</xdr:row>
      <xdr:rowOff>0</xdr:rowOff>
    </xdr:from>
    <xdr:to>
      <xdr:col>7</xdr:col>
      <xdr:colOff>0</xdr:colOff>
      <xdr:row>10</xdr:row>
      <xdr:rowOff>0</xdr:rowOff>
    </xdr:to>
    <ns0:AlternateContent xmlns:ns0="http://schemas.openxmlformats.org/markup-compatibility/2006">
      <ns0:Choice xmlns:a14="http://schemas.microsoft.com/office/drawing/2010/main" Requires="a14">
        <xdr:graphicFrame macro="">
          <xdr:nvGraphicFramePr>
            <xdr:cNvPr id="1001" name="Product" descr="Filter monthly complaints by product"/>
            <xdr:cNvGraphicFramePr/>
          </xdr:nvGraphicFramePr>
          <xdr:xfrm>
            <ns0:off xmlns:ns0="http://schemas.openxmlformats.org/drawingml/2006/main" x="0" y="0"/>
            <ns0:ext xmlns:ns0="http://schemas.openxmlformats.org/drawingml/2006/main" cx="0" cy="0"/>
          </xdr:xfrm>
          <ns0:graphic xmlns:ns0="http://schemas.openxmlformats.org/drawingml/2006/main">
            <ns0:graphicData uri="http://schemas.microsoft.com/office/drawing/2010/slicer">
              <ns0:slicer xmlns:ns0="http://schemas.microsoft.com/office/drawing/2010/slicer" name="Product"/>
            </ns0:graphicData>
          </ns0:graphic>
        </xdr:graphicFrame>
      </ns0:Choice>
      <ns0:Fallback/>
    </ns0:AlternateContent>
    <xdr:clientData/>
  </xdr:twoCellAnchor>
</xdr:wsDr>
</file>

<file path=xl/pivotCache/_rels/pivotCacheDefinition1.xml.rels><?xml version='1.0' encoding='UTF-8' standalone='yes'?>
<Relationships xmlns="http://schemas.openxmlformats.org/package/2006/relationships"><Relationship Id="rRecords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x14="http://schemas.microsoft.com/office/spreadsheetml/2009/9/main" r:id="rRecords" recordCount="48" refreshOnLoad="0" saveData="1" createdVersion="6" refreshedVersion="6" minRefreshableVersion="3">
  <cacheSource type="worksheet">
    <worksheetSource name="MonthlySource" sheet="Monthly Source"/>
  </cacheSource>
  <cacheFields count="8">
    <cacheField name="Month" numFmtId="0">
      <sharedItems count="0" containsString="0" containsNumber="0" containsDate="1" containsSemiMixedTypes="0"/>
    </cacheField>
    <cacheField name="Product" numFmtId="0">
      <sharedItems count="2">
        <s v="Checking or savings account"/>
        <s v="Credit card"/>
      </sharedItems>
    </cacheField>
    <cacheField name="Complaints" numFmtId="0">
      <sharedItems count="0" containsString="0" containsNumber="1" containsDate="0" containsSemiMixedTypes="0"/>
    </cacheField>
    <cacheField name="Timely Yes" numFmtId="0">
      <sharedItems count="0" containsString="0" containsNumber="1" containsDate="0" containsSemiMixedTypes="0"/>
    </cacheField>
    <cacheField name="Known status" numFmtId="0">
      <sharedItems count="0" containsString="0" containsNumber="1" containsDate="0" containsSemiMixedTypes="0"/>
    </cacheField>
    <cacheField name="Not timely" numFmtId="0">
      <sharedItems count="0" containsString="0" containsNumber="1" containsDate="0" containsSemiMixedTypes="0"/>
    </cacheField>
    <cacheField name="Unknown" numFmtId="0">
      <sharedItems count="0" containsString="0" containsNumber="1" containsDate="0" containsSemiMixedTypes="0"/>
    </cacheField>
    <cacheField name="Month label" numFmtId="0">
      <sharedItems count="24">
        <s v="Oct 2024"/>
        <s v="Nov 2024"/>
        <s v="Dec 2024"/>
        <s v="Jan 2025"/>
        <s v="Feb 2025"/>
        <s v="Mar 2025"/>
        <s v="Apr 2025"/>
        <s v="May 2025"/>
        <s v="Jun 2025"/>
        <s v="Jul 2025"/>
        <s v="Aug 2025"/>
        <s v="Sep 2025"/>
        <s v="Oct 2025"/>
        <s v="Nov 2025"/>
        <s v="Dec 2025"/>
        <s v="Jan 2026"/>
        <s v="Feb 2026"/>
        <s v="Mar 2026"/>
        <s v="Apr 2026"/>
        <s v="May 2026"/>
        <s v="Jun 2026"/>
        <s v="Jul 2026"/>
        <s v="Aug 2026"/>
        <s v="Sep 2026"/>
      </sharedItems>
    </cacheField>
  </cacheFields>
  <extLst>
    <ext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8">
  <r>
    <d v="2024-10-01T00:00:00"/>
    <x v="0"/>
    <n v="4692"/>
    <n v="4668.0"/>
    <n v="4692.0"/>
    <n v="24.0"/>
    <n v="0.0"/>
    <x v="0"/>
  </r>
  <r>
    <d v="2024-10-01T00:00:00"/>
    <x v="1"/>
    <n v="7176"/>
    <n v="7165.0"/>
    <n v="7176.0"/>
    <n v="11.0"/>
    <n v="0.0"/>
    <x v="0"/>
  </r>
  <r>
    <d v="2024-11-01T00:00:00"/>
    <x v="0"/>
    <n v="5175"/>
    <n v="5155.0"/>
    <n v="5175.0"/>
    <n v="20.0"/>
    <n v="0.0"/>
    <x v="1"/>
  </r>
  <r>
    <d v="2024-11-01T00:00:00"/>
    <x v="1"/>
    <n v="6095"/>
    <n v="6086.0"/>
    <n v="6095.0"/>
    <n v="9.0"/>
    <n v="0.0"/>
    <x v="1"/>
  </r>
  <r>
    <d v="2024-12-01T00:00:00"/>
    <x v="0"/>
    <n v="4798"/>
    <n v="4779.0"/>
    <n v="4798.0"/>
    <n v="19.0"/>
    <n v="0.0"/>
    <x v="2"/>
  </r>
  <r>
    <d v="2024-12-01T00:00:00"/>
    <x v="1"/>
    <n v="6697"/>
    <n v="6688.0"/>
    <n v="6697.0"/>
    <n v="9.0"/>
    <n v="0.0"/>
    <x v="2"/>
  </r>
  <r>
    <d v="2025-01-01T00:00:00"/>
    <x v="0"/>
    <n v="18367"/>
    <n v="18329.0"/>
    <n v="18367.0"/>
    <n v="38.0"/>
    <n v="0.0"/>
    <x v="3"/>
  </r>
  <r>
    <d v="2025-01-01T00:00:00"/>
    <x v="1"/>
    <n v="9073"/>
    <n v="9047.0"/>
    <n v="9073.0"/>
    <n v="26.0"/>
    <n v="0.0"/>
    <x v="3"/>
  </r>
  <r>
    <d v="2025-02-01T00:00:00"/>
    <x v="0"/>
    <n v="5452"/>
    <n v="5421.0"/>
    <n v="5452.0"/>
    <n v="31.0"/>
    <n v="0.0"/>
    <x v="4"/>
  </r>
  <r>
    <d v="2025-02-01T00:00:00"/>
    <x v="1"/>
    <n v="6213"/>
    <n v="6198.0"/>
    <n v="6213.0"/>
    <n v="15.0"/>
    <n v="0.0"/>
    <x v="4"/>
  </r>
  <r>
    <d v="2025-03-01T00:00:00"/>
    <x v="0"/>
    <n v="5070"/>
    <n v="5044.0"/>
    <n v="5070.0"/>
    <n v="26.0"/>
    <n v="0.0"/>
    <x v="5"/>
  </r>
  <r>
    <d v="2025-03-01T00:00:00"/>
    <x v="1"/>
    <n v="6255"/>
    <n v="6244.0"/>
    <n v="6255.0"/>
    <n v="11.0"/>
    <n v="0.0"/>
    <x v="5"/>
  </r>
  <r>
    <d v="2025-04-01T00:00:00"/>
    <x v="0"/>
    <n v="5229"/>
    <n v="5191.0"/>
    <n v="5229.0"/>
    <n v="38.0"/>
    <n v="0.0"/>
    <x v="6"/>
  </r>
  <r>
    <d v="2025-04-01T00:00:00"/>
    <x v="1"/>
    <n v="6897"/>
    <n v="6880.0"/>
    <n v="6897.0"/>
    <n v="17.0"/>
    <n v="0.0"/>
    <x v="6"/>
  </r>
  <r>
    <d v="2025-05-01T00:00:00"/>
    <x v="0"/>
    <n v="5394"/>
    <n v="5360.0"/>
    <n v="5394.0"/>
    <n v="34.0"/>
    <n v="0.0"/>
    <x v="7"/>
  </r>
  <r>
    <d v="2025-05-01T00:00:00"/>
    <x v="1"/>
    <n v="7515"/>
    <n v="7498.0"/>
    <n v="7515.0"/>
    <n v="17.0"/>
    <n v="0.0"/>
    <x v="7"/>
  </r>
  <r>
    <d v="2025-06-01T00:00:00"/>
    <x v="0"/>
    <n v="5557"/>
    <n v="5422.0"/>
    <n v="5557.0"/>
    <n v="135.0"/>
    <n v="0.0"/>
    <x v="8"/>
  </r>
  <r>
    <d v="2025-06-01T00:00:00"/>
    <x v="1"/>
    <n v="7364"/>
    <n v="7325.0"/>
    <n v="7364.0"/>
    <n v="39.0"/>
    <n v="0.0"/>
    <x v="8"/>
  </r>
  <r>
    <d v="2025-07-01T00:00:00"/>
    <x v="0"/>
    <n v="6403"/>
    <n v="6316.0"/>
    <n v="6403.0"/>
    <n v="87.0"/>
    <n v="0.0"/>
    <x v="9"/>
  </r>
  <r>
    <d v="2025-07-01T00:00:00"/>
    <x v="1"/>
    <n v="8105"/>
    <n v="8084.0"/>
    <n v="8105.0"/>
    <n v="21.0"/>
    <n v="0.0"/>
    <x v="9"/>
  </r>
  <r>
    <d v="2025-08-01T00:00:00"/>
    <x v="0"/>
    <n v="6505"/>
    <n v="6457.0"/>
    <n v="6505.0"/>
    <n v="48.0"/>
    <n v="0.0"/>
    <x v="10"/>
  </r>
  <r>
    <d v="2025-08-01T00:00:00"/>
    <x v="1"/>
    <n v="7919"/>
    <n v="7894.0"/>
    <n v="7919.0"/>
    <n v="25.0"/>
    <n v="0.0"/>
    <x v="10"/>
  </r>
  <r>
    <d v="2025-09-01T00:00:00"/>
    <x v="0"/>
    <n v="6141"/>
    <n v="6102.0"/>
    <n v="6141.0"/>
    <n v="39.0"/>
    <n v="0.0"/>
    <x v="11"/>
  </r>
  <r>
    <d v="2025-09-01T00:00:00"/>
    <x v="1"/>
    <n v="8504"/>
    <n v="8485.0"/>
    <n v="8504.0"/>
    <n v="19.0"/>
    <n v="0.0"/>
    <x v="11"/>
  </r>
  <r>
    <d v="2025-10-01T00:00:00"/>
    <x v="0"/>
    <n v="6308"/>
    <n v="6276.0"/>
    <n v="6308.0"/>
    <n v="32.0"/>
    <n v="0.0"/>
    <x v="12"/>
  </r>
  <r>
    <d v="2025-10-01T00:00:00"/>
    <x v="1"/>
    <n v="7413"/>
    <n v="7392.0"/>
    <n v="7413.0"/>
    <n v="21.0"/>
    <n v="0.0"/>
    <x v="12"/>
  </r>
  <r>
    <d v="2025-11-01T00:00:00"/>
    <x v="0"/>
    <n v="6077"/>
    <n v="6030.0"/>
    <n v="6077.0"/>
    <n v="47.0"/>
    <n v="0.0"/>
    <x v="13"/>
  </r>
  <r>
    <d v="2025-11-01T00:00:00"/>
    <x v="1"/>
    <n v="6861"/>
    <n v="6820.0"/>
    <n v="6861.0"/>
    <n v="41.0"/>
    <n v="0.0"/>
    <x v="13"/>
  </r>
  <r>
    <d v="2025-12-01T00:00:00"/>
    <x v="0"/>
    <n v="7692"/>
    <n v="7638.0"/>
    <n v="7692.0"/>
    <n v="54.0"/>
    <n v="0.0"/>
    <x v="14"/>
  </r>
  <r>
    <d v="2025-12-01T00:00:00"/>
    <x v="1"/>
    <n v="7859"/>
    <n v="7766.0"/>
    <n v="7859.0"/>
    <n v="93.0"/>
    <n v="0.0"/>
    <x v="14"/>
  </r>
  <r>
    <d v="2026-01-01T00:00:00"/>
    <x v="0"/>
    <n v="7916"/>
    <n v="7870.0"/>
    <n v="7916.0"/>
    <n v="46.0"/>
    <n v="0.0"/>
    <x v="15"/>
  </r>
  <r>
    <d v="2026-01-01T00:00:00"/>
    <x v="1"/>
    <n v="9516"/>
    <n v="9407.0"/>
    <n v="9516.0"/>
    <n v="109.0"/>
    <n v="0.0"/>
    <x v="15"/>
  </r>
  <r>
    <d v="2026-02-01T00:00:00"/>
    <x v="0"/>
    <n v="6559"/>
    <n v="6516.0"/>
    <n v="6559.0"/>
    <n v="43.0"/>
    <n v="0.0"/>
    <x v="16"/>
  </r>
  <r>
    <d v="2026-02-01T00:00:00"/>
    <x v="1"/>
    <n v="7401"/>
    <n v="7267.0"/>
    <n v="7401.0"/>
    <n v="134.0"/>
    <n v="0.0"/>
    <x v="16"/>
  </r>
  <r>
    <d v="2026-03-01T00:00:00"/>
    <x v="0"/>
    <n v="7824"/>
    <n v="7767.0"/>
    <n v="7824.0"/>
    <n v="57.0"/>
    <n v="0.0"/>
    <x v="17"/>
  </r>
  <r>
    <d v="2026-03-01T00:00:00"/>
    <x v="1"/>
    <n v="8327"/>
    <n v="8215.0"/>
    <n v="8327.0"/>
    <n v="112.0"/>
    <n v="0.0"/>
    <x v="17"/>
  </r>
  <r>
    <d v="2026-04-01T00:00:00"/>
    <x v="0"/>
    <n v="7676"/>
    <n v="7596.0"/>
    <n v="7676.0"/>
    <n v="80.0"/>
    <n v="0.0"/>
    <x v="18"/>
  </r>
  <r>
    <d v="2026-04-01T00:00:00"/>
    <x v="1"/>
    <n v="8228"/>
    <n v="8107.0"/>
    <n v="8228.0"/>
    <n v="121.0"/>
    <n v="0.0"/>
    <x v="18"/>
  </r>
  <r>
    <d v="2026-05-01T00:00:00"/>
    <x v="0"/>
    <n v="7200"/>
    <n v="7151.0"/>
    <n v="7200.0"/>
    <n v="49.0"/>
    <n v="0.0"/>
    <x v="19"/>
  </r>
  <r>
    <d v="2026-05-01T00:00:00"/>
    <x v="1"/>
    <n v="7923"/>
    <n v="7751.0"/>
    <n v="7923.0"/>
    <n v="172.0"/>
    <n v="0.0"/>
    <x v="19"/>
  </r>
  <r>
    <d v="2026-06-01T00:00:00"/>
    <x v="0"/>
    <n v="7672"/>
    <n v="7614.0"/>
    <n v="7672.0"/>
    <n v="58.0"/>
    <n v="0.0"/>
    <x v="20"/>
  </r>
  <r>
    <d v="2026-06-01T00:00:00"/>
    <x v="1"/>
    <n v="7467"/>
    <n v="7312.0"/>
    <n v="7467.0"/>
    <n v="155.0"/>
    <n v="0.0"/>
    <x v="20"/>
  </r>
  <r>
    <d v="2026-07-01T00:00:00"/>
    <x v="0"/>
    <n v="8014"/>
    <n v="7955.0"/>
    <n v="8014.0"/>
    <n v="59.0"/>
    <n v="0.0"/>
    <x v="21"/>
  </r>
  <r>
    <d v="2026-07-01T00:00:00"/>
    <x v="1"/>
    <n v="8109"/>
    <n v="7979.0"/>
    <n v="8109.0"/>
    <n v="130.0"/>
    <n v="0.0"/>
    <x v="21"/>
  </r>
  <r>
    <d v="2026-08-01T00:00:00"/>
    <x v="0"/>
    <n v="7872"/>
    <n v="7824.0"/>
    <n v="7872.0"/>
    <n v="48.0"/>
    <n v="0.0"/>
    <x v="22"/>
  </r>
  <r>
    <d v="2026-08-01T00:00:00"/>
    <x v="1"/>
    <n v="8329"/>
    <n v="8281.0"/>
    <n v="8329.0"/>
    <n v="48.0"/>
    <n v="0.0"/>
    <x v="22"/>
  </r>
  <r>
    <d v="2026-09-01T00:00:00"/>
    <x v="0"/>
    <n v="8079"/>
    <n v="8058.0"/>
    <n v="8079.0"/>
    <n v="21.0"/>
    <n v="0.0"/>
    <x v="23"/>
  </r>
  <r>
    <d v="2026-09-01T00:00:00"/>
    <x v="1"/>
    <n v="8572"/>
    <n v="8553.0"/>
    <n v="8572.0"/>
    <n v="19.0"/>
    <n v="0.0"/>
    <x v="23"/>
  </r>
</pivotCacheRecords>
</file>

<file path=xl/pivotTables/_rels/pivotTable1.xml.rels><?xml version='1.0' encoding='UTF-8' standalone='yes'?>
<Relationships xmlns="http://schemas.openxmlformats.org/package/2006/relationships"><Relationship Id="rCache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BankPulseMonthly" cacheId="1" dataCaption="Complaints" rowHeaderCaption="Month" createdVersion="6" updatedVersion="6" minRefreshableVersion="3" useAutoFormatting="1" itemPrintTitles="1" compact="0" compactData="0" gridDropZones="0" rowGrandTotals="1" colGrandTotals="1">
  <location ref="A8:B33" firstHeaderRow="1" firstDataRow="1" firstDataCol="1" rowPageCount="1" colPageCount="1"/>
  <pivotFields count="8">
    <pivotField showAll="0" defaultSubtotal="0"/>
    <pivotField showAll="0" defaultSubtotal="0" axis="axisPage">
      <items count="2">
        <item x="0"/>
        <item x="1"/>
      </items>
    </pivotField>
    <pivotField showAll="0" defaultSubtotal="0" dataField="1"/>
    <pivotField showAll="0" defaultSubtotal="0"/>
    <pivotField showAll="0" defaultSubtotal="0"/>
    <pivotField showAll="0" defaultSubtotal="0"/>
    <pivotField showAll="0" defaultSubtotal="0"/>
    <pivotField showAll="0" defaultSubtotal="0" axis="axisRow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7"/>
  </rowFields>
  <rowItems count="25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1" hier="-1"/>
  </pageFields>
  <dataFields count="1">
    <dataField name="Complaints" fld="2" subtotal="sum" baseField="0" baseItem="0" numFmtId="3"/>
  </dataFields>
  <pivotTableStyleInfo name="PivotStyleLight1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name="Slicer_Product" sourceName="Product">
  <pivotTables>
    <pivotTable tabId="4" name="BankPulseMonthly"/>
  </pivotTables>
  <data>
    <tabular pivotCacheId="1" sortOrder="ascending" showMissing="0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>
  <slicer name="Product" cache="Slicer_Product" caption="Product" columnCount="1" showCaption="1" rowHeight="251883" style="SlicerStyleLight1"/>
</slicers>
</file>

<file path=xl/tables/table1.xml><?xml version="1.0" encoding="utf-8"?>
<x:table xmlns:x="http://schemas.openxmlformats.org/spreadsheetml/2006/main" id="3" name="ComplaintDetail" displayName="ComplaintDetail" ref="A7:N507" headerRowCount="1" totalsRowCount="0" totalsRowShown="0">
  <x:tableColumns count="14">
    <x:tableColumn id="1" name="Complaint ID"/>
    <x:tableColumn id="2" name="Received"/>
    <x:tableColumn id="3" name="Product"/>
    <x:tableColumn id="4" name="Issue"/>
    <x:tableColumn id="5" name="Company"/>
    <x:tableColumn id="6" name="State"/>
    <x:tableColumn id="7" name="Timely"/>
    <x:tableColumn id="8" name="Response"/>
    <x:tableColumn id="9" name="Channel"/>
    <x:tableColumn id="10" name="Sent"/>
    <x:tableColumn id="11" name="Sub-product"/>
    <x:tableColumn id="12" name="Sub-issue"/>
    <x:tableColumn id="13" name="Review team (simulated)"/>
    <x:tableColumn id="14" name="Received month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" name="MonthlySource" displayName="MonthlySource" ref="A7:H55" headerRowCount="1" totalsRowCount="0" totalsRowShown="0">
  <x:tableColumns count="8">
    <x:tableColumn id="1" name="Month"/>
    <x:tableColumn id="2" name="Product"/>
    <x:tableColumn id="3" name="Complaints"/>
    <x:tableColumn id="4" name="Timely Yes"/>
    <x:tableColumn id="5" name="Known status"/>
    <x:tableColumn id="6" name="Not timely"/>
    <x:tableColumn id="7" name="Unknown"/>
    <x:tableColumn id="8" name="Month label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2" name="ProductMapping" displayName="ProductMapping" ref="A6:B8" headerRowCount="1" totalsRowCount="0" totalsRowShown="0">
  <x:tableColumns count="2">
    <x:tableColumn id="1" name="Product"/>
    <x:tableColumn id="2" name="Review team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AcceptanceTests" displayName="AcceptanceTests" ref="A6:J30" headerRowCount="1" totalsRowCount="0" totalsRowShown="0">
  <x:tableColumns count="10">
    <x:tableColumn id="1" name="Test ID"/>
    <x:tableColumn id="2" name="Requirement"/>
    <x:tableColumn id="3" name="Scenario"/>
    <x:tableColumn id="4" name="Steps"/>
    <x:tableColumn id="5" name="Expected result"/>
    <x:tableColumn id="6" name="Actual result"/>
    <x:tableColumn id="7" name="Status"/>
    <x:tableColumn id="8" name="Reviewer"/>
    <x:tableColumn id="9" name="Evidence / defect"/>
    <x:tableColumn id="10" name="Developer check referenc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a5e576ca3b4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c037278d89b84734" 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drawing" Target="/xl/drawings/drawing3.xml" Id="R8e76d57ec0ae4864"/><Relationship Id="rBankPivotTable" Type="http://schemas.openxmlformats.org/officeDocument/2006/relationships/pivotTable" Target="../pivotTables/pivotTable1.xml"/><Relationship Id="rBankSlicer" Type="http://schemas.microsoft.com/office/2007/relationships/slicer" Target="../slicers/slicer1.xml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c9a1862f6cbf45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2b9c6c63667147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8c4b5c92402e42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3f4fa87a300540ef" /></Relationships>
</file>

<file path=xl/worksheets/sheet1.xml><?xml version="1.0" encoding="utf-8"?>
<x:worksheet xmlns:x="http://schemas.openxmlformats.org/spreadsheetml/2006/main">
  <x:sheetPr>
    <x:tabColor rgb="FF293B52"/>
  </x:sheetPr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BankPulse · Banking complaints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2024-10 through 2026-09 · snapshot 2026-10-19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Selected product</x:v>
      </x:c>
      <x:c r="B6" s="2"/>
      <x:c r="C6" s="2" t="str">
        <x:f>'Analysis'!B4</x:f>
        <x:v>All products</x:v>
      </x:c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3" customHeight="1">
      <x:c r="A8" s="2" t="str">
        <x:v>Complaints</x:v>
      </x:c>
      <x:c r="B8" s="2"/>
      <x:c r="C8" s="2"/>
      <x:c r="D8" s="2" t="str">
        <x:v>Timely response</x:v>
      </x:c>
      <x:c r="E8" s="2"/>
      <x:c r="F8" s="2"/>
      <x:c r="G8" s="2" t="str">
        <x:v>Known status</x:v>
      </x:c>
      <x:c r="H8" s="2"/>
      <x:c r="I8" s="2"/>
      <x:c r="J8" s="2" t="str">
        <x:v>Unknown status</x:v>
      </x:c>
      <x:c r="K8" s="2"/>
      <x:c r="L8" s="2"/>
    </x:row>
    <x:row r="9" ht="23" customHeight="1">
      <x:c r="A9" s="21" t="n">
        <x:f>'Analysis'!B35</x:f>
        <x:v>351490</x:v>
      </x:c>
      <x:c r="B9" s="2"/>
      <x:c r="C9" s="2"/>
      <x:c r="D9" s="22" t="n">
        <x:f>'Analysis'!E35</x:f>
        <x:v>0.9928675068992006</x:v>
      </x:c>
      <x:c r="E9" s="2"/>
      <x:c r="F9" s="2"/>
      <x:c r="G9" s="21" t="n">
        <x:f>'Analysis'!D35</x:f>
        <x:v>351490</x:v>
      </x:c>
      <x:c r="H9" s="2"/>
      <x:c r="I9" s="2"/>
      <x:c r="J9" s="21" t="n">
        <x:f>'Analysis'!B35-'Analysis'!D35</x:f>
        <x:v>0</x:v>
      </x:c>
      <x:c r="K9" s="2"/>
      <x:c r="L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 t="str">
        <x:v>Change the product selector on Analysis. Capacity assumptions are editable on Capacity.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 t="str">
        <x:v>Published complaints are not customer complaint rates. Recent complete months may backfill.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</x:sheetData>
  <x:pageMargins left="0.7" right="0.7" top="0.75" bottom="0.75" header="0.3" footer="0.3"/>
  <x:drawing xmlns:r="http://schemas.openxmlformats.org/officeDocument/2006/relationships" r:id="Rb3a5e576ca3b4d18"/>
</x:worksheet>
</file>

<file path=xl/worksheets/sheet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5" hidden="0" customWidth="1"/>
    <x:col min="10" max="10" width="25" hidden="0" customWidth="1"/>
    <x:col min="11" max="11" width="16" hidden="0" customWidth="1"/>
    <x:col min="12" max="12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Monthly analysis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Product</x:v>
      </x:c>
      <x:c r="B4" s="26" t="str">
        <x:v>All products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Product selection controls full-population totals; rates exclude unknown statuses.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4" customHeight="1">
      <x:c r="A8" s="11" t="str">
        <x:v>Month</x:v>
      </x:c>
      <x:c r="B8" s="11" t="str">
        <x:v>Complaints</x:v>
      </x:c>
      <x:c r="C8" s="11" t="str">
        <x:v>Timely Yes</x:v>
      </x:c>
      <x:c r="D8" s="11" t="str">
        <x:v>Known status</x:v>
      </x:c>
      <x:c r="E8" s="11" t="str">
        <x:v>Timely rate</x:v>
      </x:c>
      <x:c r="F8" s="11" t="str">
        <x:v>Monthly change %</x:v>
      </x:c>
      <x:c r="G8" s="11" t="str">
        <x:v>Chart month</x:v>
      </x:c>
      <x:c r="H8" s="2"/>
      <x:c r="I8" s="11" t="str">
        <x:v>Detail checks</x:v>
      </x:c>
      <x:c r="J8" s="11" t="str">
        <x:v>500-record extract</x:v>
      </x:c>
      <x:c r="K8" s="2"/>
      <x:c r="L8" s="2"/>
    </x:row>
    <x:row r="9" ht="23" customHeight="1">
      <x:c r="A9" s="6" t="d">
        <x:v>2024-10-01T00:00:00.000Z</x:v>
      </x:c>
      <x:c r="B9" s="7" t="n">
        <x:f>IF($B$4="All products",SUMIFS('Monthly Source'!$C$8:$C$55,'Monthly Source'!$A$8:$A$55,$A9),SUMIFS('Monthly Source'!$C$8:$C$55,'Monthly Source'!$A$8:$A$55,$A9,'Monthly Source'!$B$8:$B$55,$B$4))</x:f>
        <x:v>11868</x:v>
      </x:c>
      <x:c r="C9" s="7" t="n">
        <x:f>IF($B$4="All products",SUMIFS('Monthly Source'!$D$8:$D$55,'Monthly Source'!$A$8:$A$55,$A9),SUMIFS('Monthly Source'!$D$8:$D$55,'Monthly Source'!$A$8:$A$55,$A9,'Monthly Source'!$B$8:$B$55,$B$4))</x:f>
        <x:v>11833</x:v>
      </x:c>
      <x:c r="D9" s="7" t="n">
        <x:f>IF($B$4="All products",SUMIFS('Monthly Source'!$E$8:$E$55,'Monthly Source'!$A$8:$A$55,$A9),SUMIFS('Monthly Source'!$E$8:$E$55,'Monthly Source'!$A$8:$A$55,$A9,'Monthly Source'!$B$8:$B$55,$B$4))</x:f>
        <x:v>11868</x:v>
      </x:c>
      <x:c r="E9" s="17" t="n">
        <x:f>IF(D9=0,"n.a.",C9/D9)</x:f>
        <x:v>0.9970508931580722</x:v>
      </x:c>
      <x:c r="F9" s="17" t="str">
        <x:v>n.a.</x:v>
      </x:c>
      <x:c r="G9" s="2" t="str">
        <x:f>TEXT(A9,"mmm yyyy")</x:f>
        <x:v>Oct 2024</x:v>
      </x:c>
      <x:c r="H9" s="2"/>
      <x:c r="I9" s="2" t="str">
        <x:v>Record count</x:v>
      </x:c>
      <x:c r="J9" s="2" t="n">
        <x:f>COUNTA(Detail!A8:A507)</x:f>
        <x:v>500</x:v>
      </x:c>
      <x:c r="K9" s="2"/>
      <x:c r="L9" s="2"/>
    </x:row>
    <x:row r="10" ht="23" customHeight="1">
      <x:c r="A10" s="6" t="d">
        <x:v>2024-11-01T00:00:00.000Z</x:v>
      </x:c>
      <x:c r="B10" s="7" t="n">
        <x:f>IF($B$4="All products",SUMIFS('Monthly Source'!$C$8:$C$55,'Monthly Source'!$A$8:$A$55,$A10),SUMIFS('Monthly Source'!$C$8:$C$55,'Monthly Source'!$A$8:$A$55,$A10,'Monthly Source'!$B$8:$B$55,$B$4))</x:f>
        <x:v>11270</x:v>
      </x:c>
      <x:c r="C10" s="7" t="n">
        <x:f>IF($B$4="All products",SUMIFS('Monthly Source'!$D$8:$D$55,'Monthly Source'!$A$8:$A$55,$A10),SUMIFS('Monthly Source'!$D$8:$D$55,'Monthly Source'!$A$8:$A$55,$A10,'Monthly Source'!$B$8:$B$55,$B$4))</x:f>
        <x:v>11241</x:v>
      </x:c>
      <x:c r="D10" s="7" t="n">
        <x:f>IF($B$4="All products",SUMIFS('Monthly Source'!$E$8:$E$55,'Monthly Source'!$A$8:$A$55,$A10),SUMIFS('Monthly Source'!$E$8:$E$55,'Monthly Source'!$A$8:$A$55,$A10,'Monthly Source'!$B$8:$B$55,$B$4))</x:f>
        <x:v>11270</x:v>
      </x:c>
      <x:c r="E10" s="17" t="n">
        <x:f>IF(D10=0,"n.a.",C10/D10)</x:f>
        <x:v>0.9974267968056788</x:v>
      </x:c>
      <x:c r="F10" s="17" t="n">
        <x:f>IF(B9=0,"n.a.",B10/B9-1)</x:f>
        <x:v>-0.050387596899224785</x:v>
      </x:c>
      <x:c r="G10" s="2" t="str">
        <x:f>TEXT(A10,"mmm yyyy")</x:f>
        <x:v>Nov 2024</x:v>
      </x:c>
      <x:c r="H10" s="2"/>
      <x:c r="I10" s="2" t="str">
        <x:v>Timely Yes</x:v>
      </x:c>
      <x:c r="J10" s="2" t="n">
        <x:f>COUNTIFS(Detail!G8:G507,"Yes")</x:f>
        <x:v>500</x:v>
      </x:c>
      <x:c r="K10" s="2"/>
      <x:c r="L10" s="2"/>
    </x:row>
    <x:row r="11" ht="23" customHeight="1">
      <x:c r="A11" s="6" t="d">
        <x:v>2024-12-01T00:00:00.000Z</x:v>
      </x:c>
      <x:c r="B11" s="7" t="n">
        <x:f>IF($B$4="All products",SUMIFS('Monthly Source'!$C$8:$C$55,'Monthly Source'!$A$8:$A$55,$A11),SUMIFS('Monthly Source'!$C$8:$C$55,'Monthly Source'!$A$8:$A$55,$A11,'Monthly Source'!$B$8:$B$55,$B$4))</x:f>
        <x:v>11495</x:v>
      </x:c>
      <x:c r="C11" s="7" t="n">
        <x:f>IF($B$4="All products",SUMIFS('Monthly Source'!$D$8:$D$55,'Monthly Source'!$A$8:$A$55,$A11),SUMIFS('Monthly Source'!$D$8:$D$55,'Monthly Source'!$A$8:$A$55,$A11,'Monthly Source'!$B$8:$B$55,$B$4))</x:f>
        <x:v>11467</x:v>
      </x:c>
      <x:c r="D11" s="7" t="n">
        <x:f>IF($B$4="All products",SUMIFS('Monthly Source'!$E$8:$E$55,'Monthly Source'!$A$8:$A$55,$A11),SUMIFS('Monthly Source'!$E$8:$E$55,'Monthly Source'!$A$8:$A$55,$A11,'Monthly Source'!$B$8:$B$55,$B$4))</x:f>
        <x:v>11495</x:v>
      </x:c>
      <x:c r="E11" s="17" t="n">
        <x:f>IF(D11=0,"n.a.",C11/D11)</x:f>
        <x:v>0.9975641583297086</x:v>
      </x:c>
      <x:c r="F11" s="17" t="n">
        <x:f>IF(B10=0,"n.a.",B11/B10-1)</x:f>
        <x:v>0.01996450754214729</x:v>
      </x:c>
      <x:c r="G11" s="2" t="str">
        <x:f>TEXT(A11,"mmm yyyy")</x:f>
        <x:v>Dec 2024</x:v>
      </x:c>
      <x:c r="H11" s="2"/>
      <x:c r="I11" s="2" t="str">
        <x:v>Not timely</x:v>
      </x:c>
      <x:c r="J11" s="2" t="n">
        <x:f>COUNTIFS(Detail!G8:G507,"No")</x:f>
        <x:v>0</x:v>
      </x:c>
      <x:c r="K11" s="2"/>
      <x:c r="L11" s="2"/>
    </x:row>
    <x:row r="12" ht="23" customHeight="1">
      <x:c r="A12" s="6" t="d">
        <x:v>2025-01-01T00:00:00.000Z</x:v>
      </x:c>
      <x:c r="B12" s="7" t="n">
        <x:f>IF($B$4="All products",SUMIFS('Monthly Source'!$C$8:$C$55,'Monthly Source'!$A$8:$A$55,$A12),SUMIFS('Monthly Source'!$C$8:$C$55,'Monthly Source'!$A$8:$A$55,$A12,'Monthly Source'!$B$8:$B$55,$B$4))</x:f>
        <x:v>27440</x:v>
      </x:c>
      <x:c r="C12" s="7" t="n">
        <x:f>IF($B$4="All products",SUMIFS('Monthly Source'!$D$8:$D$55,'Monthly Source'!$A$8:$A$55,$A12),SUMIFS('Monthly Source'!$D$8:$D$55,'Monthly Source'!$A$8:$A$55,$A12,'Monthly Source'!$B$8:$B$55,$B$4))</x:f>
        <x:v>27376</x:v>
      </x:c>
      <x:c r="D12" s="7" t="n">
        <x:f>IF($B$4="All products",SUMIFS('Monthly Source'!$E$8:$E$55,'Monthly Source'!$A$8:$A$55,$A12),SUMIFS('Monthly Source'!$E$8:$E$55,'Monthly Source'!$A$8:$A$55,$A12,'Monthly Source'!$B$8:$B$55,$B$4))</x:f>
        <x:v>27440</x:v>
      </x:c>
      <x:c r="E12" s="17" t="n">
        <x:f>IF(D12=0,"n.a.",C12/D12)</x:f>
        <x:v>0.997667638483965</x:v>
      </x:c>
      <x:c r="F12" s="17" t="n">
        <x:f>IF(B11=0,"n.a.",B12/B11-1)</x:f>
        <x:v>1.3871248368856026</x:v>
      </x:c>
      <x:c r="G12" s="2" t="str">
        <x:f>TEXT(A12,"mmm yyyy")</x:f>
        <x:v>Jan 2025</x:v>
      </x:c>
      <x:c r="H12" s="2"/>
      <x:c r="I12" s="2"/>
      <x:c r="J12" s="2"/>
      <x:c r="K12" s="2"/>
      <x:c r="L12" s="2"/>
    </x:row>
    <x:row r="13" ht="23" customHeight="1">
      <x:c r="A13" s="6" t="d">
        <x:v>2025-02-01T00:00:00.000Z</x:v>
      </x:c>
      <x:c r="B13" s="7" t="n">
        <x:f>IF($B$4="All products",SUMIFS('Monthly Source'!$C$8:$C$55,'Monthly Source'!$A$8:$A$55,$A13),SUMIFS('Monthly Source'!$C$8:$C$55,'Monthly Source'!$A$8:$A$55,$A13,'Monthly Source'!$B$8:$B$55,$B$4))</x:f>
        <x:v>11665</x:v>
      </x:c>
      <x:c r="C13" s="7" t="n">
        <x:f>IF($B$4="All products",SUMIFS('Monthly Source'!$D$8:$D$55,'Monthly Source'!$A$8:$A$55,$A13),SUMIFS('Monthly Source'!$D$8:$D$55,'Monthly Source'!$A$8:$A$55,$A13,'Monthly Source'!$B$8:$B$55,$B$4))</x:f>
        <x:v>11619</x:v>
      </x:c>
      <x:c r="D13" s="7" t="n">
        <x:f>IF($B$4="All products",SUMIFS('Monthly Source'!$E$8:$E$55,'Monthly Source'!$A$8:$A$55,$A13),SUMIFS('Monthly Source'!$E$8:$E$55,'Monthly Source'!$A$8:$A$55,$A13,'Monthly Source'!$B$8:$B$55,$B$4))</x:f>
        <x:v>11665</x:v>
      </x:c>
      <x:c r="E13" s="17" t="n">
        <x:f>IF(D13=0,"n.a.",C13/D13)</x:f>
        <x:v>0.9960565795113587</x:v>
      </x:c>
      <x:c r="F13" s="17" t="n">
        <x:f>IF(B12=0,"n.a.",B13/B12-1)</x:f>
        <x:v>-0.5748906705539358</x:v>
      </x:c>
      <x:c r="G13" s="2" t="str">
        <x:f>TEXT(A13,"mmm yyyy")</x:f>
        <x:v>Feb 2025</x:v>
      </x:c>
      <x:c r="H13" s="2"/>
      <x:c r="I13" s="2" t="str">
        <x:v>Independent full-population controls</x:v>
      </x:c>
      <x:c r="J13" s="2"/>
      <x:c r="K13" s="2"/>
      <x:c r="L13" s="2"/>
    </x:row>
    <x:row r="14" ht="23" customHeight="1">
      <x:c r="A14" s="6" t="d">
        <x:v>2025-03-01T00:00:00.000Z</x:v>
      </x:c>
      <x:c r="B14" s="7" t="n">
        <x:f>IF($B$4="All products",SUMIFS('Monthly Source'!$C$8:$C$55,'Monthly Source'!$A$8:$A$55,$A14),SUMIFS('Monthly Source'!$C$8:$C$55,'Monthly Source'!$A$8:$A$55,$A14,'Monthly Source'!$B$8:$B$55,$B$4))</x:f>
        <x:v>11325</x:v>
      </x:c>
      <x:c r="C14" s="7" t="n">
        <x:f>IF($B$4="All products",SUMIFS('Monthly Source'!$D$8:$D$55,'Monthly Source'!$A$8:$A$55,$A14),SUMIFS('Monthly Source'!$D$8:$D$55,'Monthly Source'!$A$8:$A$55,$A14,'Monthly Source'!$B$8:$B$55,$B$4))</x:f>
        <x:v>11288</x:v>
      </x:c>
      <x:c r="D14" s="7" t="n">
        <x:f>IF($B$4="All products",SUMIFS('Monthly Source'!$E$8:$E$55,'Monthly Source'!$A$8:$A$55,$A14),SUMIFS('Monthly Source'!$E$8:$E$55,'Monthly Source'!$A$8:$A$55,$A14,'Monthly Source'!$B$8:$B$55,$B$4))</x:f>
        <x:v>11325</x:v>
      </x:c>
      <x:c r="E14" s="17" t="n">
        <x:f>IF(D14=0,"n.a.",C14/D14)</x:f>
        <x:v>0.9967328918322296</x:v>
      </x:c>
      <x:c r="F14" s="17" t="n">
        <x:f>IF(B13=0,"n.a.",B14/B13-1)</x:f>
        <x:v>-0.029147021003000484</x:v>
      </x:c>
      <x:c r="G14" s="2" t="str">
        <x:f>TEXT(A14,"mmm yyyy")</x:f>
        <x:v>Mar 2025</x:v>
      </x:c>
      <x:c r="H14" s="2"/>
      <x:c r="I14" s="2" t="str">
        <x:v>Expected count</x:v>
      </x:c>
      <x:c r="J14" s="2" t="n">
        <x:v>351490</x:v>
      </x:c>
      <x:c r="K14" s="2"/>
      <x:c r="L14" s="2"/>
    </x:row>
    <x:row r="15" ht="23" customHeight="1">
      <x:c r="A15" s="6" t="d">
        <x:v>2025-04-01T00:00:00.000Z</x:v>
      </x:c>
      <x:c r="B15" s="7" t="n">
        <x:f>IF($B$4="All products",SUMIFS('Monthly Source'!$C$8:$C$55,'Monthly Source'!$A$8:$A$55,$A15),SUMIFS('Monthly Source'!$C$8:$C$55,'Monthly Source'!$A$8:$A$55,$A15,'Monthly Source'!$B$8:$B$55,$B$4))</x:f>
        <x:v>12126</x:v>
      </x:c>
      <x:c r="C15" s="7" t="n">
        <x:f>IF($B$4="All products",SUMIFS('Monthly Source'!$D$8:$D$55,'Monthly Source'!$A$8:$A$55,$A15),SUMIFS('Monthly Source'!$D$8:$D$55,'Monthly Source'!$A$8:$A$55,$A15,'Monthly Source'!$B$8:$B$55,$B$4))</x:f>
        <x:v>12071</x:v>
      </x:c>
      <x:c r="D15" s="7" t="n">
        <x:f>IF($B$4="All products",SUMIFS('Monthly Source'!$E$8:$E$55,'Monthly Source'!$A$8:$A$55,$A15),SUMIFS('Monthly Source'!$E$8:$E$55,'Monthly Source'!$A$8:$A$55,$A15,'Monthly Source'!$B$8:$B$55,$B$4))</x:f>
        <x:v>12126</x:v>
      </x:c>
      <x:c r="E15" s="17" t="n">
        <x:f>IF(D15=0,"n.a.",C15/D15)</x:f>
        <x:v>0.9954642916048161</x:v>
      </x:c>
      <x:c r="F15" s="17" t="n">
        <x:f>IF(B14=0,"n.a.",B15/B14-1)</x:f>
        <x:v>0.07072847682119199</x:v>
      </x:c>
      <x:c r="G15" s="2" t="str">
        <x:f>TEXT(A15,"mmm yyyy")</x:f>
        <x:v>Apr 2025</x:v>
      </x:c>
      <x:c r="H15" s="2"/>
      <x:c r="I15" s="2" t="str">
        <x:v>Expected Yes</x:v>
      </x:c>
      <x:c r="J15" s="2" t="n">
        <x:v>348983</x:v>
      </x:c>
      <x:c r="K15" s="2"/>
      <x:c r="L15" s="2"/>
    </x:row>
    <x:row r="16" ht="23" customHeight="1">
      <x:c r="A16" s="6" t="d">
        <x:v>2025-05-01T00:00:00.000Z</x:v>
      </x:c>
      <x:c r="B16" s="7" t="n">
        <x:f>IF($B$4="All products",SUMIFS('Monthly Source'!$C$8:$C$55,'Monthly Source'!$A$8:$A$55,$A16),SUMIFS('Monthly Source'!$C$8:$C$55,'Monthly Source'!$A$8:$A$55,$A16,'Monthly Source'!$B$8:$B$55,$B$4))</x:f>
        <x:v>12909</x:v>
      </x:c>
      <x:c r="C16" s="7" t="n">
        <x:f>IF($B$4="All products",SUMIFS('Monthly Source'!$D$8:$D$55,'Monthly Source'!$A$8:$A$55,$A16),SUMIFS('Monthly Source'!$D$8:$D$55,'Monthly Source'!$A$8:$A$55,$A16,'Monthly Source'!$B$8:$B$55,$B$4))</x:f>
        <x:v>12858</x:v>
      </x:c>
      <x:c r="D16" s="7" t="n">
        <x:f>IF($B$4="All products",SUMIFS('Monthly Source'!$E$8:$E$55,'Monthly Source'!$A$8:$A$55,$A16),SUMIFS('Monthly Source'!$E$8:$E$55,'Monthly Source'!$A$8:$A$55,$A16,'Monthly Source'!$B$8:$B$55,$B$4))</x:f>
        <x:v>12909</x:v>
      </x:c>
      <x:c r="E16" s="17" t="n">
        <x:f>IF(D16=0,"n.a.",C16/D16)</x:f>
        <x:v>0.9960492679525912</x:v>
      </x:c>
      <x:c r="F16" s="17" t="n">
        <x:f>IF(B15=0,"n.a.",B16/B15-1)</x:f>
        <x:v>0.06457199406234548</x:v>
      </x:c>
      <x:c r="G16" s="2" t="str">
        <x:f>TEXT(A16,"mmm yyyy")</x:f>
        <x:v>May 2025</x:v>
      </x:c>
      <x:c r="H16" s="2"/>
      <x:c r="I16" s="2" t="str">
        <x:v>Expected known</x:v>
      </x:c>
      <x:c r="J16" s="2" t="n">
        <x:v>351490</x:v>
      </x:c>
      <x:c r="K16" s="2"/>
      <x:c r="L16" s="2"/>
    </x:row>
    <x:row r="17" ht="23" customHeight="1">
      <x:c r="A17" s="6" t="d">
        <x:v>2025-06-01T00:00:00.000Z</x:v>
      </x:c>
      <x:c r="B17" s="7" t="n">
        <x:f>IF($B$4="All products",SUMIFS('Monthly Source'!$C$8:$C$55,'Monthly Source'!$A$8:$A$55,$A17),SUMIFS('Monthly Source'!$C$8:$C$55,'Monthly Source'!$A$8:$A$55,$A17,'Monthly Source'!$B$8:$B$55,$B$4))</x:f>
        <x:v>12921</x:v>
      </x:c>
      <x:c r="C17" s="7" t="n">
        <x:f>IF($B$4="All products",SUMIFS('Monthly Source'!$D$8:$D$55,'Monthly Source'!$A$8:$A$55,$A17),SUMIFS('Monthly Source'!$D$8:$D$55,'Monthly Source'!$A$8:$A$55,$A17,'Monthly Source'!$B$8:$B$55,$B$4))</x:f>
        <x:v>12747</x:v>
      </x:c>
      <x:c r="D17" s="7" t="n">
        <x:f>IF($B$4="All products",SUMIFS('Monthly Source'!$E$8:$E$55,'Monthly Source'!$A$8:$A$55,$A17),SUMIFS('Monthly Source'!$E$8:$E$55,'Monthly Source'!$A$8:$A$55,$A17,'Monthly Source'!$B$8:$B$55,$B$4))</x:f>
        <x:v>12921</x:v>
      </x:c>
      <x:c r="E17" s="17" t="n">
        <x:f>IF(D17=0,"n.a.",C17/D17)</x:f>
        <x:v>0.986533550034827</x:v>
      </x:c>
      <x:c r="F17" s="17" t="n">
        <x:f>IF(B16=0,"n.a.",B17/B16-1)</x:f>
        <x:v>0.0009295840111549492</x:v>
      </x:c>
      <x:c r="G17" s="2" t="str">
        <x:f>TEXT(A17,"mmm yyyy")</x:f>
        <x:v>Jun 2025</x:v>
      </x:c>
      <x:c r="H17" s="2"/>
      <x:c r="I17" s="2"/>
      <x:c r="J17" s="2"/>
      <x:c r="K17" s="2"/>
      <x:c r="L17" s="2"/>
    </x:row>
    <x:row r="18" ht="23" customHeight="1">
      <x:c r="A18" s="6" t="d">
        <x:v>2025-07-01T00:00:00.000Z</x:v>
      </x:c>
      <x:c r="B18" s="7" t="n">
        <x:f>IF($B$4="All products",SUMIFS('Monthly Source'!$C$8:$C$55,'Monthly Source'!$A$8:$A$55,$A18),SUMIFS('Monthly Source'!$C$8:$C$55,'Monthly Source'!$A$8:$A$55,$A18,'Monthly Source'!$B$8:$B$55,$B$4))</x:f>
        <x:v>14508</x:v>
      </x:c>
      <x:c r="C18" s="7" t="n">
        <x:f>IF($B$4="All products",SUMIFS('Monthly Source'!$D$8:$D$55,'Monthly Source'!$A$8:$A$55,$A18),SUMIFS('Monthly Source'!$D$8:$D$55,'Monthly Source'!$A$8:$A$55,$A18,'Monthly Source'!$B$8:$B$55,$B$4))</x:f>
        <x:v>14400</x:v>
      </x:c>
      <x:c r="D18" s="7" t="n">
        <x:f>IF($B$4="All products",SUMIFS('Monthly Source'!$E$8:$E$55,'Monthly Source'!$A$8:$A$55,$A18),SUMIFS('Monthly Source'!$E$8:$E$55,'Monthly Source'!$A$8:$A$55,$A18,'Monthly Source'!$B$8:$B$55,$B$4))</x:f>
        <x:v>14508</x:v>
      </x:c>
      <x:c r="E18" s="17" t="n">
        <x:f>IF(D18=0,"n.a.",C18/D18)</x:f>
        <x:v>0.9925558312655087</x:v>
      </x:c>
      <x:c r="F18" s="17" t="n">
        <x:f>IF(B17=0,"n.a.",B18/B17-1)</x:f>
        <x:v>0.12282331088925003</x:v>
      </x:c>
      <x:c r="G18" s="2" t="str">
        <x:f>TEXT(A18,"mmm yyyy")</x:f>
        <x:v>Jul 2025</x:v>
      </x:c>
      <x:c r="H18" s="2"/>
      <x:c r="I18" s="2" t="str">
        <x:v>Count difference</x:v>
      </x:c>
      <x:c r="J18" s="2" t="n">
        <x:f>SUM('Monthly Source'!C8:C55)-J14</x:f>
        <x:v>0</x:v>
      </x:c>
      <x:c r="K18" s="2"/>
      <x:c r="L18" s="2"/>
    </x:row>
    <x:row r="19" ht="23" customHeight="1">
      <x:c r="A19" s="6" t="d">
        <x:v>2025-08-01T00:00:00.000Z</x:v>
      </x:c>
      <x:c r="B19" s="7" t="n">
        <x:f>IF($B$4="All products",SUMIFS('Monthly Source'!$C$8:$C$55,'Monthly Source'!$A$8:$A$55,$A19),SUMIFS('Monthly Source'!$C$8:$C$55,'Monthly Source'!$A$8:$A$55,$A19,'Monthly Source'!$B$8:$B$55,$B$4))</x:f>
        <x:v>14424</x:v>
      </x:c>
      <x:c r="C19" s="7" t="n">
        <x:f>IF($B$4="All products",SUMIFS('Monthly Source'!$D$8:$D$55,'Monthly Source'!$A$8:$A$55,$A19),SUMIFS('Monthly Source'!$D$8:$D$55,'Monthly Source'!$A$8:$A$55,$A19,'Monthly Source'!$B$8:$B$55,$B$4))</x:f>
        <x:v>14351</x:v>
      </x:c>
      <x:c r="D19" s="7" t="n">
        <x:f>IF($B$4="All products",SUMIFS('Monthly Source'!$E$8:$E$55,'Monthly Source'!$A$8:$A$55,$A19),SUMIFS('Monthly Source'!$E$8:$E$55,'Monthly Source'!$A$8:$A$55,$A19,'Monthly Source'!$B$8:$B$55,$B$4))</x:f>
        <x:v>14424</x:v>
      </x:c>
      <x:c r="E19" s="17" t="n">
        <x:f>IF(D19=0,"n.a.",C19/D19)</x:f>
        <x:v>0.9949389905712701</x:v>
      </x:c>
      <x:c r="F19" s="17" t="n">
        <x:f>IF(B18=0,"n.a.",B19/B18-1)</x:f>
        <x:v>-0.005789909015715522</x:v>
      </x:c>
      <x:c r="G19" s="2" t="str">
        <x:f>TEXT(A19,"mmm yyyy")</x:f>
        <x:v>Aug 2025</x:v>
      </x:c>
      <x:c r="H19" s="2"/>
      <x:c r="I19" s="2" t="str">
        <x:v>Yes difference</x:v>
      </x:c>
      <x:c r="J19" s="2" t="n">
        <x:f>SUM('Monthly Source'!D8:D55)-J15</x:f>
        <x:v>0</x:v>
      </x:c>
      <x:c r="K19" s="2"/>
      <x:c r="L19" s="2"/>
    </x:row>
    <x:row r="20" ht="23" customHeight="1">
      <x:c r="A20" s="6" t="d">
        <x:v>2025-09-01T00:00:00.000Z</x:v>
      </x:c>
      <x:c r="B20" s="7" t="n">
        <x:f>IF($B$4="All products",SUMIFS('Monthly Source'!$C$8:$C$55,'Monthly Source'!$A$8:$A$55,$A20),SUMIFS('Monthly Source'!$C$8:$C$55,'Monthly Source'!$A$8:$A$55,$A20,'Monthly Source'!$B$8:$B$55,$B$4))</x:f>
        <x:v>14645</x:v>
      </x:c>
      <x:c r="C20" s="7" t="n">
        <x:f>IF($B$4="All products",SUMIFS('Monthly Source'!$D$8:$D$55,'Monthly Source'!$A$8:$A$55,$A20),SUMIFS('Monthly Source'!$D$8:$D$55,'Monthly Source'!$A$8:$A$55,$A20,'Monthly Source'!$B$8:$B$55,$B$4))</x:f>
        <x:v>14587</x:v>
      </x:c>
      <x:c r="D20" s="7" t="n">
        <x:f>IF($B$4="All products",SUMIFS('Monthly Source'!$E$8:$E$55,'Monthly Source'!$A$8:$A$55,$A20),SUMIFS('Monthly Source'!$E$8:$E$55,'Monthly Source'!$A$8:$A$55,$A20,'Monthly Source'!$B$8:$B$55,$B$4))</x:f>
        <x:v>14645</x:v>
      </x:c>
      <x:c r="E20" s="17" t="n">
        <x:f>IF(D20=0,"n.a.",C20/D20)</x:f>
        <x:v>0.996039603960396</x:v>
      </x:c>
      <x:c r="F20" s="17" t="n">
        <x:f>IF(B19=0,"n.a.",B20/B19-1)</x:f>
        <x:v>0.015321686078757724</x:v>
      </x:c>
      <x:c r="G20" s="2" t="str">
        <x:f>TEXT(A20,"mmm yyyy")</x:f>
        <x:v>Sep 2025</x:v>
      </x:c>
      <x:c r="H20" s="2"/>
      <x:c r="I20" s="2" t="str">
        <x:v>Known difference</x:v>
      </x:c>
      <x:c r="J20" s="2" t="n">
        <x:f>SUM('Monthly Source'!E8:E55)-J16</x:f>
        <x:v>0</x:v>
      </x:c>
      <x:c r="K20" s="2"/>
      <x:c r="L20" s="2"/>
    </x:row>
    <x:row r="21" ht="23" customHeight="1">
      <x:c r="A21" s="6" t="d">
        <x:v>2025-10-01T00:00:00.000Z</x:v>
      </x:c>
      <x:c r="B21" s="7" t="n">
        <x:f>IF($B$4="All products",SUMIFS('Monthly Source'!$C$8:$C$55,'Monthly Source'!$A$8:$A$55,$A21),SUMIFS('Monthly Source'!$C$8:$C$55,'Monthly Source'!$A$8:$A$55,$A21,'Monthly Source'!$B$8:$B$55,$B$4))</x:f>
        <x:v>13721</x:v>
      </x:c>
      <x:c r="C21" s="7" t="n">
        <x:f>IF($B$4="All products",SUMIFS('Monthly Source'!$D$8:$D$55,'Monthly Source'!$A$8:$A$55,$A21),SUMIFS('Monthly Source'!$D$8:$D$55,'Monthly Source'!$A$8:$A$55,$A21,'Monthly Source'!$B$8:$B$55,$B$4))</x:f>
        <x:v>13668</x:v>
      </x:c>
      <x:c r="D21" s="7" t="n">
        <x:f>IF($B$4="All products",SUMIFS('Monthly Source'!$E$8:$E$55,'Monthly Source'!$A$8:$A$55,$A21),SUMIFS('Monthly Source'!$E$8:$E$55,'Monthly Source'!$A$8:$A$55,$A21,'Monthly Source'!$B$8:$B$55,$B$4))</x:f>
        <x:v>13721</x:v>
      </x:c>
      <x:c r="E21" s="17" t="n">
        <x:f>IF(D21=0,"n.a.",C21/D21)</x:f>
        <x:v>0.9961373077764011</x:v>
      </x:c>
      <x:c r="F21" s="17" t="n">
        <x:f>IF(B20=0,"n.a.",B21/B20-1)</x:f>
        <x:v>-0.06309320587231138</x:v>
      </x:c>
      <x:c r="G21" s="2" t="str">
        <x:f>TEXT(A21,"mmm yyyy")</x:f>
        <x:v>Oct 2025</x:v>
      </x:c>
      <x:c r="H21" s="2"/>
      <x:c r="I21" s="2"/>
      <x:c r="J21" s="2"/>
      <x:c r="K21" s="2"/>
      <x:c r="L21" s="2"/>
    </x:row>
    <x:row r="22" ht="23" customHeight="1">
      <x:c r="A22" s="6" t="d">
        <x:v>2025-11-01T00:00:00.000Z</x:v>
      </x:c>
      <x:c r="B22" s="7" t="n">
        <x:f>IF($B$4="All products",SUMIFS('Monthly Source'!$C$8:$C$55,'Monthly Source'!$A$8:$A$55,$A22),SUMIFS('Monthly Source'!$C$8:$C$55,'Monthly Source'!$A$8:$A$55,$A22,'Monthly Source'!$B$8:$B$55,$B$4))</x:f>
        <x:v>12938</x:v>
      </x:c>
      <x:c r="C22" s="7" t="n">
        <x:f>IF($B$4="All products",SUMIFS('Monthly Source'!$D$8:$D$55,'Monthly Source'!$A$8:$A$55,$A22),SUMIFS('Monthly Source'!$D$8:$D$55,'Monthly Source'!$A$8:$A$55,$A22,'Monthly Source'!$B$8:$B$55,$B$4))</x:f>
        <x:v>12850</x:v>
      </x:c>
      <x:c r="D22" s="7" t="n">
        <x:f>IF($B$4="All products",SUMIFS('Monthly Source'!$E$8:$E$55,'Monthly Source'!$A$8:$A$55,$A22),SUMIFS('Monthly Source'!$E$8:$E$55,'Monthly Source'!$A$8:$A$55,$A22,'Monthly Source'!$B$8:$B$55,$B$4))</x:f>
        <x:v>12938</x:v>
      </x:c>
      <x:c r="E22" s="17" t="n">
        <x:f>IF(D22=0,"n.a.",C22/D22)</x:f>
        <x:v>0.9931983304993044</x:v>
      </x:c>
      <x:c r="F22" s="17" t="n">
        <x:f>IF(B21=0,"n.a.",B22/B21-1)</x:f>
        <x:v>-0.05706581152977186</x:v>
      </x:c>
      <x:c r="G22" s="2" t="str">
        <x:f>TEXT(A22,"mmm yyyy")</x:f>
        <x:v>Nov 2025</x:v>
      </x:c>
      <x:c r="H22" s="2"/>
      <x:c r="I22" s="2"/>
      <x:c r="J22" s="2"/>
      <x:c r="K22" s="2"/>
      <x:c r="L22" s="2"/>
    </x:row>
    <x:row r="23" ht="23" customHeight="1">
      <x:c r="A23" s="6" t="d">
        <x:v>2025-12-01T00:00:00.000Z</x:v>
      </x:c>
      <x:c r="B23" s="7" t="n">
        <x:f>IF($B$4="All products",SUMIFS('Monthly Source'!$C$8:$C$55,'Monthly Source'!$A$8:$A$55,$A23),SUMIFS('Monthly Source'!$C$8:$C$55,'Monthly Source'!$A$8:$A$55,$A23,'Monthly Source'!$B$8:$B$55,$B$4))</x:f>
        <x:v>15551</x:v>
      </x:c>
      <x:c r="C23" s="7" t="n">
        <x:f>IF($B$4="All products",SUMIFS('Monthly Source'!$D$8:$D$55,'Monthly Source'!$A$8:$A$55,$A23),SUMIFS('Monthly Source'!$D$8:$D$55,'Monthly Source'!$A$8:$A$55,$A23,'Monthly Source'!$B$8:$B$55,$B$4))</x:f>
        <x:v>15404</x:v>
      </x:c>
      <x:c r="D23" s="7" t="n">
        <x:f>IF($B$4="All products",SUMIFS('Monthly Source'!$E$8:$E$55,'Monthly Source'!$A$8:$A$55,$A23),SUMIFS('Monthly Source'!$E$8:$E$55,'Monthly Source'!$A$8:$A$55,$A23,'Monthly Source'!$B$8:$B$55,$B$4))</x:f>
        <x:v>15551</x:v>
      </x:c>
      <x:c r="E23" s="17" t="n">
        <x:f>IF(D23=0,"n.a.",C23/D23)</x:f>
        <x:v>0.9905472316892804</x:v>
      </x:c>
      <x:c r="F23" s="17" t="n">
        <x:f>IF(B22=0,"n.a.",B23/B22-1)</x:f>
        <x:v>0.20196320915133725</x:v>
      </x:c>
      <x:c r="G23" s="2" t="str">
        <x:f>TEXT(A23,"mmm yyyy")</x:f>
        <x:v>Dec 2025</x:v>
      </x:c>
      <x:c r="H23" s="2"/>
      <x:c r="I23" s="2"/>
      <x:c r="J23" s="2"/>
      <x:c r="K23" s="2"/>
      <x:c r="L23" s="2"/>
    </x:row>
    <x:row r="24" ht="23" customHeight="1">
      <x:c r="A24" s="6" t="d">
        <x:v>2026-01-01T00:00:00.000Z</x:v>
      </x:c>
      <x:c r="B24" s="7" t="n">
        <x:f>IF($B$4="All products",SUMIFS('Monthly Source'!$C$8:$C$55,'Monthly Source'!$A$8:$A$55,$A24),SUMIFS('Monthly Source'!$C$8:$C$55,'Monthly Source'!$A$8:$A$55,$A24,'Monthly Source'!$B$8:$B$55,$B$4))</x:f>
        <x:v>17432</x:v>
      </x:c>
      <x:c r="C24" s="7" t="n">
        <x:f>IF($B$4="All products",SUMIFS('Monthly Source'!$D$8:$D$55,'Monthly Source'!$A$8:$A$55,$A24),SUMIFS('Monthly Source'!$D$8:$D$55,'Monthly Source'!$A$8:$A$55,$A24,'Monthly Source'!$B$8:$B$55,$B$4))</x:f>
        <x:v>17277</x:v>
      </x:c>
      <x:c r="D24" s="7" t="n">
        <x:f>IF($B$4="All products",SUMIFS('Monthly Source'!$E$8:$E$55,'Monthly Source'!$A$8:$A$55,$A24),SUMIFS('Monthly Source'!$E$8:$E$55,'Monthly Source'!$A$8:$A$55,$A24,'Monthly Source'!$B$8:$B$55,$B$4))</x:f>
        <x:v>17432</x:v>
      </x:c>
      <x:c r="E24" s="17" t="n">
        <x:f>IF(D24=0,"n.a.",C24/D24)</x:f>
        <x:v>0.9911083065626434</x:v>
      </x:c>
      <x:c r="F24" s="17" t="n">
        <x:f>IF(B23=0,"n.a.",B24/B23-1)</x:f>
        <x:v>0.12095685164941172</x:v>
      </x:c>
      <x:c r="G24" s="2" t="str">
        <x:f>TEXT(A24,"mmm yyyy")</x:f>
        <x:v>Jan 2026</x:v>
      </x:c>
      <x:c r="H24" s="2"/>
      <x:c r="I24" s="2"/>
      <x:c r="J24" s="2"/>
      <x:c r="K24" s="2"/>
      <x:c r="L24" s="2"/>
    </x:row>
    <x:row r="25" ht="23" customHeight="1">
      <x:c r="A25" s="6" t="d">
        <x:v>2026-02-01T00:00:00.000Z</x:v>
      </x:c>
      <x:c r="B25" s="7" t="n">
        <x:f>IF($B$4="All products",SUMIFS('Monthly Source'!$C$8:$C$55,'Monthly Source'!$A$8:$A$55,$A25),SUMIFS('Monthly Source'!$C$8:$C$55,'Monthly Source'!$A$8:$A$55,$A25,'Monthly Source'!$B$8:$B$55,$B$4))</x:f>
        <x:v>13960</x:v>
      </x:c>
      <x:c r="C25" s="7" t="n">
        <x:f>IF($B$4="All products",SUMIFS('Monthly Source'!$D$8:$D$55,'Monthly Source'!$A$8:$A$55,$A25),SUMIFS('Monthly Source'!$D$8:$D$55,'Monthly Source'!$A$8:$A$55,$A25,'Monthly Source'!$B$8:$B$55,$B$4))</x:f>
        <x:v>13783</x:v>
      </x:c>
      <x:c r="D25" s="7" t="n">
        <x:f>IF($B$4="All products",SUMIFS('Monthly Source'!$E$8:$E$55,'Monthly Source'!$A$8:$A$55,$A25),SUMIFS('Monthly Source'!$E$8:$E$55,'Monthly Source'!$A$8:$A$55,$A25,'Monthly Source'!$B$8:$B$55,$B$4))</x:f>
        <x:v>13960</x:v>
      </x:c>
      <x:c r="E25" s="17" t="n">
        <x:f>IF(D25=0,"n.a.",C25/D25)</x:f>
        <x:v>0.9873209169054441</x:v>
      </x:c>
      <x:c r="F25" s="17" t="n">
        <x:f>IF(B24=0,"n.a.",B25/B24-1)</x:f>
        <x:v>-0.19917393299678754</x:v>
      </x:c>
      <x:c r="G25" s="2" t="str">
        <x:f>TEXT(A25,"mmm yyyy")</x:f>
        <x:v>Feb 2026</x:v>
      </x:c>
      <x:c r="H25" s="2"/>
      <x:c r="I25" s="2"/>
      <x:c r="J25" s="2"/>
      <x:c r="K25" s="2"/>
      <x:c r="L25" s="2"/>
    </x:row>
    <x:row r="26" ht="23" customHeight="1">
      <x:c r="A26" s="6" t="d">
        <x:v>2026-03-01T00:00:00.000Z</x:v>
      </x:c>
      <x:c r="B26" s="7" t="n">
        <x:f>IF($B$4="All products",SUMIFS('Monthly Source'!$C$8:$C$55,'Monthly Source'!$A$8:$A$55,$A26),SUMIFS('Monthly Source'!$C$8:$C$55,'Monthly Source'!$A$8:$A$55,$A26,'Monthly Source'!$B$8:$B$55,$B$4))</x:f>
        <x:v>16151</x:v>
      </x:c>
      <x:c r="C26" s="7" t="n">
        <x:f>IF($B$4="All products",SUMIFS('Monthly Source'!$D$8:$D$55,'Monthly Source'!$A$8:$A$55,$A26),SUMIFS('Monthly Source'!$D$8:$D$55,'Monthly Source'!$A$8:$A$55,$A26,'Monthly Source'!$B$8:$B$55,$B$4))</x:f>
        <x:v>15982</x:v>
      </x:c>
      <x:c r="D26" s="7" t="n">
        <x:f>IF($B$4="All products",SUMIFS('Monthly Source'!$E$8:$E$55,'Monthly Source'!$A$8:$A$55,$A26),SUMIFS('Monthly Source'!$E$8:$E$55,'Monthly Source'!$A$8:$A$55,$A26,'Monthly Source'!$B$8:$B$55,$B$4))</x:f>
        <x:v>16151</x:v>
      </x:c>
      <x:c r="E26" s="17" t="n">
        <x:f>IF(D26=0,"n.a.",C26/D26)</x:f>
        <x:v>0.9895362516252864</x:v>
      </x:c>
      <x:c r="F26" s="17" t="n">
        <x:f>IF(B25=0,"n.a.",B26/B25-1)</x:f>
        <x:v>0.15694842406876797</x:v>
      </x:c>
      <x:c r="G26" s="2" t="str">
        <x:f>TEXT(A26,"mmm yyyy")</x:f>
        <x:v>Mar 2026</x:v>
      </x:c>
      <x:c r="H26" s="2"/>
      <x:c r="I26" s="2"/>
      <x:c r="J26" s="2"/>
      <x:c r="K26" s="2"/>
      <x:c r="L26" s="2"/>
    </x:row>
    <x:row r="27" ht="23" customHeight="1">
      <x:c r="A27" s="6" t="d">
        <x:v>2026-04-01T00:00:00.000Z</x:v>
      </x:c>
      <x:c r="B27" s="7" t="n">
        <x:f>IF($B$4="All products",SUMIFS('Monthly Source'!$C$8:$C$55,'Monthly Source'!$A$8:$A$55,$A27),SUMIFS('Monthly Source'!$C$8:$C$55,'Monthly Source'!$A$8:$A$55,$A27,'Monthly Source'!$B$8:$B$55,$B$4))</x:f>
        <x:v>15904</x:v>
      </x:c>
      <x:c r="C27" s="7" t="n">
        <x:f>IF($B$4="All products",SUMIFS('Monthly Source'!$D$8:$D$55,'Monthly Source'!$A$8:$A$55,$A27),SUMIFS('Monthly Source'!$D$8:$D$55,'Monthly Source'!$A$8:$A$55,$A27,'Monthly Source'!$B$8:$B$55,$B$4))</x:f>
        <x:v>15703</x:v>
      </x:c>
      <x:c r="D27" s="7" t="n">
        <x:f>IF($B$4="All products",SUMIFS('Monthly Source'!$E$8:$E$55,'Monthly Source'!$A$8:$A$55,$A27),SUMIFS('Monthly Source'!$E$8:$E$55,'Monthly Source'!$A$8:$A$55,$A27,'Monthly Source'!$B$8:$B$55,$B$4))</x:f>
        <x:v>15904</x:v>
      </x:c>
      <x:c r="E27" s="17" t="n">
        <x:f>IF(D27=0,"n.a.",C27/D27)</x:f>
        <x:v>0.9873616700201208</x:v>
      </x:c>
      <x:c r="F27" s="17" t="n">
        <x:f>IF(B26=0,"n.a.",B27/B26-1)</x:f>
        <x:v>-0.0152931707015046</x:v>
      </x:c>
      <x:c r="G27" s="2" t="str">
        <x:f>TEXT(A27,"mmm yyyy")</x:f>
        <x:v>Apr 2026</x:v>
      </x:c>
      <x:c r="H27" s="2"/>
      <x:c r="I27" s="2"/>
      <x:c r="J27" s="2"/>
      <x:c r="K27" s="2"/>
      <x:c r="L27" s="2"/>
    </x:row>
    <x:row r="28" ht="23" customHeight="1">
      <x:c r="A28" s="6" t="d">
        <x:v>2026-05-01T00:00:00.000Z</x:v>
      </x:c>
      <x:c r="B28" s="7" t="n">
        <x:f>IF($B$4="All products",SUMIFS('Monthly Source'!$C$8:$C$55,'Monthly Source'!$A$8:$A$55,$A28),SUMIFS('Monthly Source'!$C$8:$C$55,'Monthly Source'!$A$8:$A$55,$A28,'Monthly Source'!$B$8:$B$55,$B$4))</x:f>
        <x:v>15123</x:v>
      </x:c>
      <x:c r="C28" s="7" t="n">
        <x:f>IF($B$4="All products",SUMIFS('Monthly Source'!$D$8:$D$55,'Monthly Source'!$A$8:$A$55,$A28),SUMIFS('Monthly Source'!$D$8:$D$55,'Monthly Source'!$A$8:$A$55,$A28,'Monthly Source'!$B$8:$B$55,$B$4))</x:f>
        <x:v>14902</x:v>
      </x:c>
      <x:c r="D28" s="7" t="n">
        <x:f>IF($B$4="All products",SUMIFS('Monthly Source'!$E$8:$E$55,'Monthly Source'!$A$8:$A$55,$A28),SUMIFS('Monthly Source'!$E$8:$E$55,'Monthly Source'!$A$8:$A$55,$A28,'Monthly Source'!$B$8:$B$55,$B$4))</x:f>
        <x:v>15123</x:v>
      </x:c>
      <x:c r="E28" s="17" t="n">
        <x:f>IF(D28=0,"n.a.",C28/D28)</x:f>
        <x:v>0.9853864973880844</x:v>
      </x:c>
      <x:c r="F28" s="17" t="n">
        <x:f>IF(B27=0,"n.a.",B28/B27-1)</x:f>
        <x:v>-0.049107142857142905</x:v>
      </x:c>
      <x:c r="G28" s="2" t="str">
        <x:f>TEXT(A28,"mmm yyyy")</x:f>
        <x:v>May 2026</x:v>
      </x:c>
      <x:c r="H28" s="2"/>
      <x:c r="I28" s="2"/>
      <x:c r="J28" s="2"/>
      <x:c r="K28" s="2"/>
      <x:c r="L28" s="2"/>
    </x:row>
    <x:row r="29" ht="23" customHeight="1">
      <x:c r="A29" s="6" t="d">
        <x:v>2026-06-01T00:00:00.000Z</x:v>
      </x:c>
      <x:c r="B29" s="7" t="n">
        <x:f>IF($B$4="All products",SUMIFS('Monthly Source'!$C$8:$C$55,'Monthly Source'!$A$8:$A$55,$A29),SUMIFS('Monthly Source'!$C$8:$C$55,'Monthly Source'!$A$8:$A$55,$A29,'Monthly Source'!$B$8:$B$55,$B$4))</x:f>
        <x:v>15139</x:v>
      </x:c>
      <x:c r="C29" s="7" t="n">
        <x:f>IF($B$4="All products",SUMIFS('Monthly Source'!$D$8:$D$55,'Monthly Source'!$A$8:$A$55,$A29),SUMIFS('Monthly Source'!$D$8:$D$55,'Monthly Source'!$A$8:$A$55,$A29,'Monthly Source'!$B$8:$B$55,$B$4))</x:f>
        <x:v>14926</x:v>
      </x:c>
      <x:c r="D29" s="7" t="n">
        <x:f>IF($B$4="All products",SUMIFS('Monthly Source'!$E$8:$E$55,'Monthly Source'!$A$8:$A$55,$A29),SUMIFS('Monthly Source'!$E$8:$E$55,'Monthly Source'!$A$8:$A$55,$A29,'Monthly Source'!$B$8:$B$55,$B$4))</x:f>
        <x:v>15139</x:v>
      </x:c>
      <x:c r="E29" s="17" t="n">
        <x:f>IF(D29=0,"n.a.",C29/D29)</x:f>
        <x:v>0.9859303784926349</x:v>
      </x:c>
      <x:c r="F29" s="17" t="n">
        <x:f>IF(B28=0,"n.a.",B29/B28-1)</x:f>
        <x:v>0.0010579911393242547</x:v>
      </x:c>
      <x:c r="G29" s="2" t="str">
        <x:f>TEXT(A29,"mmm yyyy")</x:f>
        <x:v>Jun 2026</x:v>
      </x:c>
      <x:c r="H29" s="2"/>
      <x:c r="I29" s="2"/>
      <x:c r="J29" s="2"/>
      <x:c r="K29" s="2"/>
      <x:c r="L29" s="2"/>
    </x:row>
    <x:row r="30" ht="23" customHeight="1">
      <x:c r="A30" s="6" t="d">
        <x:v>2026-07-01T00:00:00.000Z</x:v>
      </x:c>
      <x:c r="B30" s="7" t="n">
        <x:f>IF($B$4="All products",SUMIFS('Monthly Source'!$C$8:$C$55,'Monthly Source'!$A$8:$A$55,$A30),SUMIFS('Monthly Source'!$C$8:$C$55,'Monthly Source'!$A$8:$A$55,$A30,'Monthly Source'!$B$8:$B$55,$B$4))</x:f>
        <x:v>16123</x:v>
      </x:c>
      <x:c r="C30" s="7" t="n">
        <x:f>IF($B$4="All products",SUMIFS('Monthly Source'!$D$8:$D$55,'Monthly Source'!$A$8:$A$55,$A30),SUMIFS('Monthly Source'!$D$8:$D$55,'Monthly Source'!$A$8:$A$55,$A30,'Monthly Source'!$B$8:$B$55,$B$4))</x:f>
        <x:v>15934</x:v>
      </x:c>
      <x:c r="D30" s="7" t="n">
        <x:f>IF($B$4="All products",SUMIFS('Monthly Source'!$E$8:$E$55,'Monthly Source'!$A$8:$A$55,$A30),SUMIFS('Monthly Source'!$E$8:$E$55,'Monthly Source'!$A$8:$A$55,$A30,'Monthly Source'!$B$8:$B$55,$B$4))</x:f>
        <x:v>16123</x:v>
      </x:c>
      <x:c r="E30" s="17" t="n">
        <x:f>IF(D30=0,"n.a.",C30/D30)</x:f>
        <x:v>0.9882776158283197</x:v>
      </x:c>
      <x:c r="F30" s="17" t="n">
        <x:f>IF(B29=0,"n.a.",B30/B29-1)</x:f>
        <x:v>0.06499768809036266</x:v>
      </x:c>
      <x:c r="G30" s="2" t="str">
        <x:f>TEXT(A30,"mmm yyyy")</x:f>
        <x:v>Jul 2026</x:v>
      </x:c>
      <x:c r="H30" s="2"/>
      <x:c r="I30" s="2"/>
      <x:c r="J30" s="2"/>
      <x:c r="K30" s="2"/>
      <x:c r="L30" s="2"/>
    </x:row>
    <x:row r="31" ht="23" customHeight="1">
      <x:c r="A31" s="6" t="d">
        <x:v>2026-08-01T00:00:00.000Z</x:v>
      </x:c>
      <x:c r="B31" s="7" t="n">
        <x:f>IF($B$4="All products",SUMIFS('Monthly Source'!$C$8:$C$55,'Monthly Source'!$A$8:$A$55,$A31),SUMIFS('Monthly Source'!$C$8:$C$55,'Monthly Source'!$A$8:$A$55,$A31,'Monthly Source'!$B$8:$B$55,$B$4))</x:f>
        <x:v>16201</x:v>
      </x:c>
      <x:c r="C31" s="7" t="n">
        <x:f>IF($B$4="All products",SUMIFS('Monthly Source'!$D$8:$D$55,'Monthly Source'!$A$8:$A$55,$A31),SUMIFS('Monthly Source'!$D$8:$D$55,'Monthly Source'!$A$8:$A$55,$A31,'Monthly Source'!$B$8:$B$55,$B$4))</x:f>
        <x:v>16105</x:v>
      </x:c>
      <x:c r="D31" s="7" t="n">
        <x:f>IF($B$4="All products",SUMIFS('Monthly Source'!$E$8:$E$55,'Monthly Source'!$A$8:$A$55,$A31),SUMIFS('Monthly Source'!$E$8:$E$55,'Monthly Source'!$A$8:$A$55,$A31,'Monthly Source'!$B$8:$B$55,$B$4))</x:f>
        <x:v>16201</x:v>
      </x:c>
      <x:c r="E31" s="17" t="n">
        <x:f>IF(D31=0,"n.a.",C31/D31)</x:f>
        <x:v>0.994074439849392</x:v>
      </x:c>
      <x:c r="F31" s="17" t="n">
        <x:f>IF(B30=0,"n.a.",B31/B30-1)</x:f>
        <x:v>0.004837809340693333</x:v>
      </x:c>
      <x:c r="G31" s="2" t="str">
        <x:f>TEXT(A31,"mmm yyyy")</x:f>
        <x:v>Aug 2026</x:v>
      </x:c>
      <x:c r="H31" s="2"/>
      <x:c r="I31" s="2"/>
      <x:c r="J31" s="2"/>
      <x:c r="K31" s="2"/>
      <x:c r="L31" s="2"/>
    </x:row>
    <x:row r="32" ht="23" customHeight="1">
      <x:c r="A32" s="6" t="d">
        <x:v>2026-09-01T00:00:00.000Z</x:v>
      </x:c>
      <x:c r="B32" s="7" t="n">
        <x:f>IF($B$4="All products",SUMIFS('Monthly Source'!$C$8:$C$55,'Monthly Source'!$A$8:$A$55,$A32),SUMIFS('Monthly Source'!$C$8:$C$55,'Monthly Source'!$A$8:$A$55,$A32,'Monthly Source'!$B$8:$B$55,$B$4))</x:f>
        <x:v>16651</x:v>
      </x:c>
      <x:c r="C32" s="7" t="n">
        <x:f>IF($B$4="All products",SUMIFS('Monthly Source'!$D$8:$D$55,'Monthly Source'!$A$8:$A$55,$A32),SUMIFS('Monthly Source'!$D$8:$D$55,'Monthly Source'!$A$8:$A$55,$A32,'Monthly Source'!$B$8:$B$55,$B$4))</x:f>
        <x:v>16611</x:v>
      </x:c>
      <x:c r="D32" s="7" t="n">
        <x:f>IF($B$4="All products",SUMIFS('Monthly Source'!$E$8:$E$55,'Monthly Source'!$A$8:$A$55,$A32),SUMIFS('Monthly Source'!$E$8:$E$55,'Monthly Source'!$A$8:$A$55,$A32,'Monthly Source'!$B$8:$B$55,$B$4))</x:f>
        <x:v>16651</x:v>
      </x:c>
      <x:c r="E32" s="17" t="n">
        <x:f>IF(D32=0,"n.a.",C32/D32)</x:f>
        <x:v>0.9975977418773647</x:v>
      </x:c>
      <x:c r="F32" s="17" t="n">
        <x:f>IF(B31=0,"n.a.",B32/B31-1)</x:f>
        <x:v>0.02777606320597492</x:v>
      </x:c>
      <x:c r="G32" s="2" t="str">
        <x:f>TEXT(A32,"mmm yyyy")</x:f>
        <x:v>Sep 2026</x:v>
      </x:c>
      <x:c r="H32" s="2"/>
      <x:c r="I32" s="2"/>
      <x:c r="J32" s="2"/>
      <x:c r="K32" s="2"/>
      <x:c r="L32" s="2"/>
    </x:row>
    <x:row r="33" ht="23" customHeight="1">
      <x:c r="A33" s="2"/>
      <x:c r="B33" s="7"/>
      <x:c r="C33" s="7"/>
      <x:c r="D33" s="7"/>
      <x:c r="E33" s="17"/>
      <x:c r="F33" s="17"/>
      <x:c r="G33" s="2"/>
      <x:c r="H33" s="2"/>
      <x:c r="I33" s="2"/>
      <x:c r="J33" s="2"/>
      <x:c r="K33" s="2"/>
      <x:c r="L33" s="2"/>
    </x:row>
    <x:row r="34" ht="23" customHeight="1">
      <x:c r="A34" s="2"/>
      <x:c r="B34" s="7"/>
      <x:c r="C34" s="7"/>
      <x:c r="D34" s="7"/>
      <x:c r="E34" s="17"/>
      <x:c r="F34" s="17"/>
      <x:c r="G34" s="2"/>
      <x:c r="H34" s="2"/>
      <x:c r="I34" s="2"/>
      <x:c r="J34" s="2"/>
      <x:c r="K34" s="2"/>
      <x:c r="L34" s="2"/>
    </x:row>
    <x:row r="35" ht="23" customHeight="1">
      <x:c r="A35" s="18" t="str">
        <x:v>Total / weighted rate</x:v>
      </x:c>
      <x:c r="B35" s="19" t="n">
        <x:f>SUM(B9:B32)</x:f>
        <x:v>351490</x:v>
      </x:c>
      <x:c r="C35" s="19" t="n">
        <x:f>SUM(C9:C32)</x:f>
        <x:v>348983</x:v>
      </x:c>
      <x:c r="D35" s="19" t="n">
        <x:f>SUM(D9:D32)</x:f>
        <x:v>351490</x:v>
      </x:c>
      <x:c r="E35" s="20" t="n">
        <x:f>IF(D35=0,"n.a.",C35/D35)</x:f>
        <x:v>0.9928675068992006</x:v>
      </x:c>
      <x:c r="F35" s="17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sheetProtection sheet="1" objects="1" scenarios="1" selectLockedCells="0" selectUnlockedCells="0"/>
  <x:conditionalFormatting sqref="J18:J20">
    <x:cfRule type="cellIs" dxfId="1" priority="1" operator="notEqual">
      <x:formula>0</x:formula>
    </x:cfRule>
  </x:conditionalFormatting>
  <x:conditionalFormatting sqref="F10:F32">
    <x:cfRule type="colorScale" priority="2">
      <x:colorScale>
        <x:cfvo type="min"/>
        <x:cfvo type="percentile" val="50"/>
        <x:cfvo type="max"/>
        <x:color rgb="FFDBE6EF"/>
        <x:color rgb="FFFFFEFB"/>
        <x:color rgb="FFE6C3A8"/>
      </x:colorScale>
    </x:cfRule>
  </x:conditionalFormatting>
  <x:dataValidations count="1">
    <x:dataValidation type="list" sqref="B4">
      <x:formula1>"All products,Credit card,Checking or savings account"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07F9F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5" hidden="0" customWidth="1"/>
    <x:col min="5" max="5" width="2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Review capacity · weekly scenario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Illustrative review effort; historical not-timely records are not a live unresolved backlog.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Review month</x:v>
      </x:c>
      <x:c r="B6" s="6" t="d">
        <x:v>2026-09-01T00:00:00.000Z</x:v>
      </x:c>
      <x:c r="C6" s="2"/>
      <x:c r="D6" s="2" t="str">
        <x:v>Available minutes</x:v>
      </x:c>
      <x:c r="E6" s="2" t="n">
        <x:f>IF(COUNT(B9:B12)&lt;&gt;4,"n.a.",IF(OR(B9&lt;0,B10&lt;0,B11&lt;=0,B12&lt;=0,B12&gt;1),"n.a.",B9*B10*60*B12))</x:f>
        <x:v>1800</x:v>
      </x:c>
      <x:c r="F6" s="2"/>
      <x:c r="G6" s="2"/>
      <x:c r="H6" s="2"/>
      <x:c r="I6" s="2"/>
      <x:c r="J6" s="2"/>
      <x:c r="K6" s="2"/>
      <x:c r="L6" s="2"/>
    </x:row>
    <x:row r="7" ht="23" customHeight="1">
      <x:c r="A7" s="2" t="str">
        <x:v>Selected records</x:v>
      </x:c>
      <x:c r="B7" s="2" t="n">
        <x:f>SUMIFS('Monthly Source'!$F$8:$F$55,'Monthly Source'!$A$8:$A$55,B6)</x:f>
        <x:v>40</x:v>
      </x:c>
      <x:c r="C7" s="2"/>
      <x:c r="D7" s="2" t="str">
        <x:v>Minutes per review</x:v>
      </x:c>
      <x:c r="E7" s="2" t="n">
        <x:f>IF(ISNUMBER(B11),B11,"n.a.")</x:f>
        <x:v>30</x:v>
      </x:c>
      <x:c r="F7" s="2"/>
      <x:c r="G7" s="2"/>
      <x:c r="H7" s="2"/>
      <x:c r="I7" s="2"/>
      <x:c r="J7" s="2"/>
      <x:c r="K7" s="2"/>
      <x:c r="L7" s="2"/>
    </x:row>
    <x:row r="8" ht="23" customHeight="1">
      <x:c r="A8" s="2"/>
      <x:c r="B8" s="2"/>
      <x:c r="C8" s="2"/>
      <x:c r="D8" s="2" t="str">
        <x:v>Weekly capacity</x:v>
      </x:c>
      <x:c r="E8" s="7" t="n">
        <x:f>IF(ISNUMBER(E6),INT(E6/E7),"n.a.")</x:f>
        <x:v>60</x:v>
      </x:c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Reviewers</x:v>
      </x:c>
      <x:c r="B9" s="26" t="n">
        <x:v>2</x:v>
      </x:c>
      <x:c r="C9" s="2"/>
      <x:c r="D9" s="2" t="str">
        <x:v>Reviewable records</x:v>
      </x:c>
      <x:c r="E9" s="7" t="n">
        <x:f>IF(ISNUMBER(E8),MIN(B7,E8),"n.a.")</x:f>
        <x:v>40</x:v>
      </x:c>
      <x:c r="F9" s="2"/>
      <x:c r="G9" s="2"/>
      <x:c r="H9" s="2"/>
      <x:c r="I9" s="2"/>
      <x:c r="J9" s="2" t="str">
        <x:v>Amber cells are editable.</x:v>
      </x:c>
      <x:c r="K9" s="2"/>
      <x:c r="L9" s="2"/>
    </x:row>
    <x:row r="10" ht="23" customHeight="1">
      <x:c r="A10" s="2" t="str">
        <x:v>Hours / reviewer</x:v>
      </x:c>
      <x:c r="B10" s="26" t="n">
        <x:v>20</x:v>
      </x:c>
      <x:c r="C10" s="2"/>
      <x:c r="D10" s="2" t="str">
        <x:v>Remaining records</x:v>
      </x:c>
      <x:c r="E10" s="7" t="n">
        <x:f>IF(ISNUMBER(E8),MAX(0,B7-E8),"n.a.")</x:f>
        <x:v>0</x:v>
      </x:c>
      <x:c r="F10" s="2"/>
      <x:c r="G10" s="2"/>
      <x:c r="H10" s="2"/>
      <x:c r="I10" s="2"/>
      <x:c r="J10" s="2"/>
      <x:c r="K10" s="2"/>
      <x:c r="L10" s="2"/>
    </x:row>
    <x:row r="11" ht="23" customHeight="1">
      <x:c r="A11" s="2" t="str">
        <x:v>Minutes / review</x:v>
      </x:c>
      <x:c r="B11" s="26" t="n">
        <x:v>30</x:v>
      </x:c>
      <x:c r="C11" s="2"/>
      <x:c r="D11" s="2" t="str">
        <x:v>Review effort (hours)</x:v>
      </x:c>
      <x:c r="E11" s="24" t="n">
        <x:f>IF(AND(ISNUMBER(B11),B11&gt;0),B7*B11/60,"n.a.")</x:f>
        <x:v>20</x:v>
      </x:c>
      <x:c r="F11" s="2"/>
      <x:c r="G11" s="2"/>
      <x:c r="H11" s="2"/>
      <x:c r="I11" s="2"/>
      <x:c r="J11" s="2" t="str">
        <x:v>No source data is changed.</x:v>
      </x:c>
      <x:c r="K11" s="2"/>
      <x:c r="L11" s="2"/>
    </x:row>
    <x:row r="12" ht="23" customHeight="1">
      <x:c r="A12" s="2" t="str">
        <x:v>Productive time</x:v>
      </x:c>
      <x:c r="B12" s="27" t="n">
        <x:v>0.75</x:v>
      </x:c>
      <x:c r="C12" s="2"/>
      <x:c r="D12" s="2" t="str">
        <x:v>Input status</x:v>
      </x:c>
      <x:c r="E12" s="2" t="str">
        <x:f>IF(ISNUMBER(E8),"Inputs valid","Enter valid inputs")</x:f>
        <x:v>Inputs valid</x:v>
      </x:c>
      <x:c r="F12" s="2"/>
      <x:c r="G12" s="2"/>
      <x:c r="H12" s="2"/>
      <x:c r="I12" s="2"/>
      <x:c r="J12" s="2"/>
      <x:c r="K12" s="2"/>
      <x:c r="L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</x:sheetData>
  <x:sheetProtection sheet="1" objects="1" scenarios="1" selectLockedCells="0" selectUnlockedCells="0"/>
  <x:dataValidations count="4">
    <x:dataValidation type="whole" operator="between" sqref="B9">
      <x:formula1>0</x:formula1>
      <x:formula2>100</x:formula2>
    </x:dataValidation>
    <x:dataValidation type="decimal" operator="between" sqref="B10">
      <x:formula1>0</x:formula1>
      <x:formula2>168</x:formula2>
    </x:dataValidation>
    <x:dataValidation type="decimal" operator="between" sqref="B11">
      <x:formula1>1</x:formula1>
      <x:formula2>480</x:formula2>
    </x:dataValidation>
    <x:dataValidation type="decimal" operator="between" sqref="B12">
      <x:formula1>0.01</x:formula1>
      <x:formula2>1</x:formula2>
    </x:dataValidation>
  </x:dataValidations>
  <x:pageMargins left="0.7" right="0.7" top="0.75" bottom="0.75" header="0.3" footer="0.3"/>
  <x:drawing xmlns:r="http://schemas.openxmlformats.org/officeDocument/2006/relationships" r:id="Rc037278d89b84734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Pivot analysis · monthly complaints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3" customHeight="1">
      <x:c r="A4" s="2" t="str">
        <x:v>Native PivotTable: product filter and slicer, month rows, summed complaints. Source: all 48 monthly aggregates.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3" customHeight="1">
      <x:c r="A6" s="2" t="str">
        <x:v>Product</x:v>
      </x:c>
      <x:c r="B6" s="2" t="str">
        <x:v>(All)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4" customHeight="1">
      <x:c r="A8" s="11" t="str">
        <x:v>Month</x:v>
      </x:c>
      <x:c r="B8" s="11" t="str">
        <x:v>Complaints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3" customHeight="1">
      <x:c r="A9" s="2" t="str">
        <x:v>Oct 2024</x:v>
      </x:c>
      <x:c r="B9" s="7" t="n">
        <x:v>11868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3" customHeight="1">
      <x:c r="A10" s="2" t="str">
        <x:v>Nov 2024</x:v>
      </x:c>
      <x:c r="B10" s="7" t="n">
        <x:v>11270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3" customHeight="1">
      <x:c r="A11" s="2" t="str">
        <x:v>Dec 2024</x:v>
      </x:c>
      <x:c r="B11" s="7" t="n">
        <x:v>11495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3" customHeight="1">
      <x:c r="A12" s="2" t="str">
        <x:v>Jan 2025</x:v>
      </x:c>
      <x:c r="B12" s="7" t="n">
        <x:v>27440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3" customHeight="1">
      <x:c r="A13" s="2" t="str">
        <x:v>Feb 2025</x:v>
      </x:c>
      <x:c r="B13" s="7" t="n">
        <x:v>11665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3" customHeight="1">
      <x:c r="A14" s="2" t="str">
        <x:v>Mar 2025</x:v>
      </x:c>
      <x:c r="B14" s="7" t="n">
        <x:v>11325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 t="str">
        <x:v>Apr 2025</x:v>
      </x:c>
      <x:c r="B15" s="7" t="n">
        <x:v>12126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 t="str">
        <x:v>May 2025</x:v>
      </x:c>
      <x:c r="B16" s="7" t="n">
        <x:v>12909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2" t="str">
        <x:v>Jun 2025</x:v>
      </x:c>
      <x:c r="B17" s="7" t="n">
        <x:v>12921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 t="str">
        <x:v>Jul 2025</x:v>
      </x:c>
      <x:c r="B18" s="7" t="n">
        <x:v>14508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3" customHeight="1">
      <x:c r="A19" s="2" t="str">
        <x:v>Aug 2025</x:v>
      </x:c>
      <x:c r="B19" s="7" t="n">
        <x:v>14424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3" customHeight="1">
      <x:c r="A20" s="2" t="str">
        <x:v>Sep 2025</x:v>
      </x:c>
      <x:c r="B20" s="7" t="n">
        <x:v>14645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3" customHeight="1">
      <x:c r="A21" s="2" t="str">
        <x:v>Oct 2025</x:v>
      </x:c>
      <x:c r="B21" s="7" t="n">
        <x:v>13721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3" customHeight="1">
      <x:c r="A22" s="2" t="str">
        <x:v>Nov 2025</x:v>
      </x:c>
      <x:c r="B22" s="7" t="n">
        <x:v>12938</x:v>
      </x:c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3" customHeight="1">
      <x:c r="A23" s="2" t="str">
        <x:v>Dec 2025</x:v>
      </x:c>
      <x:c r="B23" s="7" t="n">
        <x:v>15551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3" customHeight="1">
      <x:c r="A24" s="2" t="str">
        <x:v>Jan 2026</x:v>
      </x:c>
      <x:c r="B24" s="7" t="n">
        <x:v>17432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3" customHeight="1">
      <x:c r="A25" s="2" t="str">
        <x:v>Feb 2026</x:v>
      </x:c>
      <x:c r="B25" s="7" t="n">
        <x:v>13960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3" customHeight="1">
      <x:c r="A26" s="2" t="str">
        <x:v>Mar 2026</x:v>
      </x:c>
      <x:c r="B26" s="7" t="n">
        <x:v>16151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3" customHeight="1">
      <x:c r="A27" s="2" t="str">
        <x:v>Apr 2026</x:v>
      </x:c>
      <x:c r="B27" s="7" t="n">
        <x:v>15904</x:v>
      </x:c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3" customHeight="1">
      <x:c r="A28" s="2" t="str">
        <x:v>May 2026</x:v>
      </x:c>
      <x:c r="B28" s="7" t="n">
        <x:v>15123</x:v>
      </x:c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3" customHeight="1">
      <x:c r="A29" s="2" t="str">
        <x:v>Jun 2026</x:v>
      </x:c>
      <x:c r="B29" s="7" t="n">
        <x:v>15139</x:v>
      </x:c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3" customHeight="1">
      <x:c r="A30" s="2" t="str">
        <x:v>Jul 2026</x:v>
      </x:c>
      <x:c r="B30" s="7" t="n">
        <x:v>16123</x:v>
      </x:c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3" customHeight="1">
      <x:c r="A31" s="2" t="str">
        <x:v>Aug 2026</x:v>
      </x:c>
      <x:c r="B31" s="7" t="n">
        <x:v>16201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3" customHeight="1">
      <x:c r="A32" s="2" t="str">
        <x:v>Sep 2026</x:v>
      </x:c>
      <x:c r="B32" s="7" t="n">
        <x:v>16651</x:v>
      </x:c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3" customHeight="1">
      <x:c r="A33" s="2" t="str">
        <x:v>Grand Total</x:v>
      </x:c>
      <x:c r="B33" s="7" t="n">
        <x:v>351490</x:v>
      </x:c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</x:sheetData>
  <x:pageMargins left="0.7" right="0.7" top="0.75" bottom="0.75" header="0.3" footer="0.3"/>
  <x:drawing xmlns:r="http://schemas.openxmlformats.org/officeDocument/2006/relationships" r:id="R8e76d57ec0ae4864"/>
  <x:extLst>
    <x:ext uri="{A8765BA9-456A-4dab-B4F3-ACF838C121DE}">
      <ns0:slicerList xmlns:ns0="http://schemas.microsoft.com/office/spreadsheetml/2009/9/main">
        <ns0:slicer xmlns:ns1="http://schemas.openxmlformats.org/officeDocument/2006/relationships" ns1:id="rBankSlicer"/>
      </ns0:slicerList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5" hidden="0" customWidth="1"/>
    <x:col min="4" max="4" width="35" hidden="0" customWidth="1"/>
    <x:col min="5" max="5" width="35" hidden="0" customWidth="1"/>
    <x:col min="6" max="6" width="16" hidden="0" customWidth="1"/>
    <x:col min="7" max="7" width="16" hidden="0" customWidth="1"/>
    <x:col min="8" max="8" width="35" hidden="0" customWidth="1"/>
    <x:col min="9" max="9" width="16" hidden="0" customWidth="1"/>
    <x:col min="10" max="10" width="16" hidden="0" customWidth="1"/>
    <x:col min="11" max="11" width="35" hidden="0" customWidth="1"/>
    <x:col min="12" max="12" width="35" hidden="0" customWidth="1"/>
    <x:col min="13" max="13" width="35" hidden="0" customWidth="1"/>
    <x:col min="14" max="14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Detail · 500-record demonstration extract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</x:row>
    <x:row r="4" ht="23" customHeight="1">
      <x:c r="A4" s="2" t="str">
        <x:v>Newest complete-month records; not a representative sample. Full-population analysis uses Monthly Source.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Source: CFPB Consumer Complaint Database, 2026-10-19; original IDs preserved as text.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34" customHeight="1">
      <x:c r="A7" s="11" t="str">
        <x:v>Complaint ID</x:v>
      </x:c>
      <x:c r="B7" s="11" t="str">
        <x:v>Received</x:v>
      </x:c>
      <x:c r="C7" s="11" t="str">
        <x:v>Product</x:v>
      </x:c>
      <x:c r="D7" s="11" t="str">
        <x:v>Issue</x:v>
      </x:c>
      <x:c r="E7" s="11" t="str">
        <x:v>Company</x:v>
      </x:c>
      <x:c r="F7" s="11" t="str">
        <x:v>State</x:v>
      </x:c>
      <x:c r="G7" s="11" t="str">
        <x:v>Timely</x:v>
      </x:c>
      <x:c r="H7" s="11" t="str">
        <x:v>Response</x:v>
      </x:c>
      <x:c r="I7" s="11" t="str">
        <x:v>Channel</x:v>
      </x:c>
      <x:c r="J7" s="11" t="str">
        <x:v>Sent</x:v>
      </x:c>
      <x:c r="K7" s="11" t="str">
        <x:v>Sub-product</x:v>
      </x:c>
      <x:c r="L7" s="11" t="str">
        <x:v>Sub-issue</x:v>
      </x:c>
      <x:c r="M7" s="11" t="str">
        <x:v>Review team (simulated)</x:v>
      </x:c>
      <x:c r="N7" s="11" t="str">
        <x:v>Received month</x:v>
      </x:c>
    </x:row>
    <x:row r="8" ht="55" customHeight="1">
      <x:c r="A8" s="13" t="str">
        <x:v>28629347</x:v>
      </x:c>
      <x:c r="B8" s="14" t="d">
        <x:v>2026-09-30T00:00:00.000Z</x:v>
      </x:c>
      <x:c r="C8" s="15" t="str">
        <x:v>Credit card</x:v>
      </x:c>
      <x:c r="D8" s="15" t="str">
        <x:v>Problem with a purchase shown on your statement</x:v>
      </x:c>
      <x:c r="E8" s="15" t="str">
        <x:v>WELLS FARGO &amp; COMPANY</x:v>
      </x:c>
      <x:c r="F8" s="15" t="str">
        <x:v>TX</x:v>
      </x:c>
      <x:c r="G8" s="15" t="str">
        <x:v>Yes</x:v>
      </x:c>
      <x:c r="H8" s="15" t="str">
        <x:v>Closed with explanation</x:v>
      </x:c>
      <x:c r="I8" s="15" t="str">
        <x:v>Web</x:v>
      </x:c>
      <x:c r="J8" s="16" t="d">
        <x:v>2026-09-30T00:00:00.000Z</x:v>
      </x:c>
      <x:c r="K8" s="15" t="str">
        <x:v>General-purpose credit card or charge card</x:v>
      </x:c>
      <x:c r="L8" s="15" t="str">
        <x:v>Card was charged for something you did not purchase with the card</x:v>
      </x:c>
      <x:c r="M8" s="15" t="str">
        <x:f>_xlfn.XLOOKUP(C8,'Lookups'!$A$7:$A$8,'Lookups'!$B$7:$B$8,"Unmapped",0)</x:f>
        <x:v>Card operations</x:v>
      </x:c>
      <x:c r="N8" s="14" t="n">
        <x:f>DATE(YEAR(B8),MONTH(B8),1)</x:f>
        <x:v>46266</x:v>
      </x:c>
    </x:row>
    <x:row r="9" ht="55" customHeight="1">
      <x:c r="A9" s="13" t="str">
        <x:v>28630300</x:v>
      </x:c>
      <x:c r="B9" s="14" t="d">
        <x:v>2026-09-30T00:00:00.000Z</x:v>
      </x:c>
      <x:c r="C9" s="15" t="str">
        <x:v>Checking or savings account</x:v>
      </x:c>
      <x:c r="D9" s="15" t="str">
        <x:v>Managing an account</x:v>
      </x:c>
      <x:c r="E9" s="15" t="str">
        <x:v>NAVY FEDERAL CREDIT UNION</x:v>
      </x:c>
      <x:c r="F9" s="15" t="str">
        <x:v>NJ</x:v>
      </x:c>
      <x:c r="G9" s="15" t="str">
        <x:v>Yes</x:v>
      </x:c>
      <x:c r="H9" s="15" t="str">
        <x:v>In progress</x:v>
      </x:c>
      <x:c r="I9" s="15" t="str">
        <x:v>Web</x:v>
      </x:c>
      <x:c r="J9" s="16" t="d">
        <x:v>2026-09-30T00:00:00.000Z</x:v>
      </x:c>
      <x:c r="K9" s="15" t="str">
        <x:v>Savings account</x:v>
      </x:c>
      <x:c r="L9" s="15" t="str">
        <x:v>Problem making or receiving payments</x:v>
      </x:c>
      <x:c r="M9" s="15" t="str">
        <x:f>_xlfn.XLOOKUP(C9,'Lookups'!$A$7:$A$8,'Lookups'!$B$7:$B$8,"Unmapped",0)</x:f>
        <x:v>Deposit operations</x:v>
      </x:c>
      <x:c r="N9" s="14" t="n">
        <x:f>DATE(YEAR(B9),MONTH(B9),1)</x:f>
        <x:v>46266</x:v>
      </x:c>
    </x:row>
    <x:row r="10" ht="55" customHeight="1">
      <x:c r="A10" s="13" t="str">
        <x:v>28630505</x:v>
      </x:c>
      <x:c r="B10" s="14" t="d">
        <x:v>2026-09-30T00:00:00.000Z</x:v>
      </x:c>
      <x:c r="C10" s="15" t="str">
        <x:v>Credit card</x:v>
      </x:c>
      <x:c r="D10" s="15" t="str">
        <x:v>Other features, terms, or problems</x:v>
      </x:c>
      <x:c r="E10" s="15" t="str">
        <x:v>JPMORGAN CHASE &amp; CO.</x:v>
      </x:c>
      <x:c r="F10" s="15" t="str">
        <x:v>GA</x:v>
      </x:c>
      <x:c r="G10" s="15" t="str">
        <x:v>Yes</x:v>
      </x:c>
      <x:c r="H10" s="15" t="str">
        <x:v>Closed with explanation</x:v>
      </x:c>
      <x:c r="I10" s="15" t="str">
        <x:v>Web</x:v>
      </x:c>
      <x:c r="J10" s="16" t="d">
        <x:v>2026-09-30T00:00:00.000Z</x:v>
      </x:c>
      <x:c r="K10" s="15" t="str">
        <x:v>General-purpose credit card or charge card</x:v>
      </x:c>
      <x:c r="L10" s="15" t="str">
        <x:v>Other problem</x:v>
      </x:c>
      <x:c r="M10" s="15" t="str">
        <x:f>_xlfn.XLOOKUP(C10,'Lookups'!$A$7:$A$8,'Lookups'!$B$7:$B$8,"Unmapped",0)</x:f>
        <x:v>Card operations</x:v>
      </x:c>
      <x:c r="N10" s="14" t="n">
        <x:f>DATE(YEAR(B10),MONTH(B10),1)</x:f>
        <x:v>46266</x:v>
      </x:c>
    </x:row>
    <x:row r="11" ht="55" customHeight="1">
      <x:c r="A11" s="13" t="str">
        <x:v>28630843</x:v>
      </x:c>
      <x:c r="B11" s="14" t="d">
        <x:v>2026-09-30T00:00:00.000Z</x:v>
      </x:c>
      <x:c r="C11" s="15" t="str">
        <x:v>Credit card</x:v>
      </x:c>
      <x:c r="D11" s="15" t="str">
        <x:v>Problem when making payments</x:v>
      </x:c>
      <x:c r="E11" s="15" t="str">
        <x:v>SYNCHRONY FINANCIAL</x:v>
      </x:c>
      <x:c r="F11" s="15" t="str">
        <x:v>FL</x:v>
      </x:c>
      <x:c r="G11" s="15" t="str">
        <x:v>Yes</x:v>
      </x:c>
      <x:c r="H11" s="15" t="str">
        <x:v>Closed with explanation</x:v>
      </x:c>
      <x:c r="I11" s="15" t="str">
        <x:v>Web</x:v>
      </x:c>
      <x:c r="J11" s="16" t="d">
        <x:v>2026-09-30T00:00:00.000Z</x:v>
      </x:c>
      <x:c r="K11" s="15" t="str">
        <x:v>Store credit card</x:v>
      </x:c>
      <x:c r="L11" s="15" t="str">
        <x:v>Problem during payment process</x:v>
      </x:c>
      <x:c r="M11" s="15" t="str">
        <x:f>_xlfn.XLOOKUP(C11,'Lookups'!$A$7:$A$8,'Lookups'!$B$7:$B$8,"Unmapped",0)</x:f>
        <x:v>Card operations</x:v>
      </x:c>
      <x:c r="N11" s="14" t="n">
        <x:f>DATE(YEAR(B11),MONTH(B11),1)</x:f>
        <x:v>46266</x:v>
      </x:c>
    </x:row>
    <x:row r="12" ht="55" customHeight="1">
      <x:c r="A12" s="13" t="str">
        <x:v>28631149</x:v>
      </x:c>
      <x:c r="B12" s="14" t="d">
        <x:v>2026-09-30T00:00:00.000Z</x:v>
      </x:c>
      <x:c r="C12" s="15" t="str">
        <x:v>Checking or savings account</x:v>
      </x:c>
      <x:c r="D12" s="15" t="str">
        <x:v>Managing an account</x:v>
      </x:c>
      <x:c r="E12" s="15" t="str">
        <x:v>SOFI TECHNOLOGIES, INC.</x:v>
      </x:c>
      <x:c r="F12" s="15" t="str">
        <x:v>CT</x:v>
      </x:c>
      <x:c r="G12" s="15" t="str">
        <x:v>Yes</x:v>
      </x:c>
      <x:c r="H12" s="15" t="str">
        <x:v>Closed with explanation</x:v>
      </x:c>
      <x:c r="I12" s="15" t="str">
        <x:v>Web</x:v>
      </x:c>
      <x:c r="J12" s="16" t="d">
        <x:v>2026-09-30T00:00:00.000Z</x:v>
      </x:c>
      <x:c r="K12" s="15" t="str">
        <x:v>Savings account</x:v>
      </x:c>
      <x:c r="L12" s="15" t="str">
        <x:v>Problem accessing account</x:v>
      </x:c>
      <x:c r="M12" s="15" t="str">
        <x:f>_xlfn.XLOOKUP(C12,'Lookups'!$A$7:$A$8,'Lookups'!$B$7:$B$8,"Unmapped",0)</x:f>
        <x:v>Deposit operations</x:v>
      </x:c>
      <x:c r="N12" s="14" t="n">
        <x:f>DATE(YEAR(B12),MONTH(B12),1)</x:f>
        <x:v>46266</x:v>
      </x:c>
    </x:row>
    <x:row r="13" ht="55" customHeight="1">
      <x:c r="A13" s="13" t="str">
        <x:v>28631245</x:v>
      </x:c>
      <x:c r="B13" s="14" t="d">
        <x:v>2026-09-30T00:00:00.000Z</x:v>
      </x:c>
      <x:c r="C13" s="15" t="str">
        <x:v>Credit card</x:v>
      </x:c>
      <x:c r="D13" s="15" t="str">
        <x:v>Getting a credit card</x:v>
      </x:c>
      <x:c r="E13" s="15" t="str">
        <x:v>GOLDMAN SACHS BANK USA</x:v>
      </x:c>
      <x:c r="F13" s="15" t="str">
        <x:v>IL</x:v>
      </x:c>
      <x:c r="G13" s="15" t="str">
        <x:v>Yes</x:v>
      </x:c>
      <x:c r="H13" s="15" t="str">
        <x:v>Closed with explanation</x:v>
      </x:c>
      <x:c r="I13" s="15" t="str">
        <x:v>Web</x:v>
      </x:c>
      <x:c r="J13" s="16" t="d">
        <x:v>2026-09-30T00:00:00.000Z</x:v>
      </x:c>
      <x:c r="K13" s="15" t="str">
        <x:v>General-purpose credit card or charge card</x:v>
      </x:c>
      <x:c r="L13" s="15" t="str">
        <x:v>Card opened without my consent or knowledge</x:v>
      </x:c>
      <x:c r="M13" s="15" t="str">
        <x:f>_xlfn.XLOOKUP(C13,'Lookups'!$A$7:$A$8,'Lookups'!$B$7:$B$8,"Unmapped",0)</x:f>
        <x:v>Card operations</x:v>
      </x:c>
      <x:c r="N13" s="14" t="n">
        <x:f>DATE(YEAR(B13),MONTH(B13),1)</x:f>
        <x:v>46266</x:v>
      </x:c>
    </x:row>
    <x:row r="14" ht="55" customHeight="1">
      <x:c r="A14" s="13" t="str">
        <x:v>28631323</x:v>
      </x:c>
      <x:c r="B14" s="14" t="d">
        <x:v>2026-09-30T00:00:00.000Z</x:v>
      </x:c>
      <x:c r="C14" s="15" t="str">
        <x:v>Credit card</x:v>
      </x:c>
      <x:c r="D14" s="15" t="str">
        <x:v>Getting a credit card</x:v>
      </x:c>
      <x:c r="E14" s="15" t="str">
        <x:v>EQUIFAX, INC.</x:v>
      </x:c>
      <x:c r="F14" s="15" t="str">
        <x:v>CA</x:v>
      </x:c>
      <x:c r="G14" s="15" t="str">
        <x:v>Yes</x:v>
      </x:c>
      <x:c r="H14" s="15" t="str">
        <x:v>Closed with explanation</x:v>
      </x:c>
      <x:c r="I14" s="15" t="str">
        <x:v>Web</x:v>
      </x:c>
      <x:c r="J14" s="16" t="d">
        <x:v>2026-09-30T00:00:00.000Z</x:v>
      </x:c>
      <x:c r="K14" s="15" t="str">
        <x:v>General-purpose credit card or charge card</x:v>
      </x:c>
      <x:c r="L14" s="15" t="str">
        <x:v>Card opened without my consent or knowledge</x:v>
      </x:c>
      <x:c r="M14" s="15" t="str">
        <x:f>_xlfn.XLOOKUP(C14,'Lookups'!$A$7:$A$8,'Lookups'!$B$7:$B$8,"Unmapped",0)</x:f>
        <x:v>Card operations</x:v>
      </x:c>
      <x:c r="N14" s="14" t="n">
        <x:f>DATE(YEAR(B14),MONTH(B14),1)</x:f>
        <x:v>46266</x:v>
      </x:c>
    </x:row>
    <x:row r="15" ht="55" customHeight="1">
      <x:c r="A15" s="13" t="str">
        <x:v>28631463</x:v>
      </x:c>
      <x:c r="B15" s="14" t="d">
        <x:v>2026-09-30T00:00:00.000Z</x:v>
      </x:c>
      <x:c r="C15" s="15" t="str">
        <x:v>Checking or savings account</x:v>
      </x:c>
      <x:c r="D15" s="15" t="str">
        <x:v>Closing an account</x:v>
      </x:c>
      <x:c r="E15" s="15" t="str">
        <x:v>BANK OF AMERICA, NATIONAL ASSOCIATION</x:v>
      </x:c>
      <x:c r="F15" s="15" t="str">
        <x:v>TX</x:v>
      </x:c>
      <x:c r="G15" s="15" t="str">
        <x:v>Yes</x:v>
      </x:c>
      <x:c r="H15" s="15" t="str">
        <x:v>In progress</x:v>
      </x:c>
      <x:c r="I15" s="15" t="str">
        <x:v>Web</x:v>
      </x:c>
      <x:c r="J15" s="16" t="d">
        <x:v>2026-09-30T00:00:00.000Z</x:v>
      </x:c>
      <x:c r="K15" s="15" t="str">
        <x:v>Checking account</x:v>
      </x:c>
      <x:c r="L15" s="15" t="str">
        <x:v>Company closed your account</x:v>
      </x:c>
      <x:c r="M15" s="15" t="str">
        <x:f>_xlfn.XLOOKUP(C15,'Lookups'!$A$7:$A$8,'Lookups'!$B$7:$B$8,"Unmapped",0)</x:f>
        <x:v>Deposit operations</x:v>
      </x:c>
      <x:c r="N15" s="14" t="n">
        <x:f>DATE(YEAR(B15),MONTH(B15),1)</x:f>
        <x:v>46266</x:v>
      </x:c>
    </x:row>
    <x:row r="16" ht="55" customHeight="1">
      <x:c r="A16" s="13" t="str">
        <x:v>28631465</x:v>
      </x:c>
      <x:c r="B16" s="14" t="d">
        <x:v>2026-09-30T00:00:00.000Z</x:v>
      </x:c>
      <x:c r="C16" s="15" t="str">
        <x:v>Checking or savings account</x:v>
      </x:c>
      <x:c r="D16" s="15" t="str">
        <x:v>Managing an account</x:v>
      </x:c>
      <x:c r="E16" s="15" t="str">
        <x:v>BANK OF AMERICA, NATIONAL ASSOCIATION</x:v>
      </x:c>
      <x:c r="F16" s="15" t="str">
        <x:v>VI</x:v>
      </x:c>
      <x:c r="G16" s="15" t="str">
        <x:v>Yes</x:v>
      </x:c>
      <x:c r="H16" s="15" t="str">
        <x:v>In progress</x:v>
      </x:c>
      <x:c r="I16" s="15" t="str">
        <x:v>Web</x:v>
      </x:c>
      <x:c r="J16" s="16" t="d">
        <x:v>2026-09-30T00:00:00.000Z</x:v>
      </x:c>
      <x:c r="K16" s="15" t="str">
        <x:v>Checking account</x:v>
      </x:c>
      <x:c r="L16" s="15" t="str">
        <x:v>Problem accessing account</x:v>
      </x:c>
      <x:c r="M16" s="15" t="str">
        <x:f>_xlfn.XLOOKUP(C16,'Lookups'!$A$7:$A$8,'Lookups'!$B$7:$B$8,"Unmapped",0)</x:f>
        <x:v>Deposit operations</x:v>
      </x:c>
      <x:c r="N16" s="14" t="n">
        <x:f>DATE(YEAR(B16),MONTH(B16),1)</x:f>
        <x:v>46266</x:v>
      </x:c>
    </x:row>
    <x:row r="17" ht="55" customHeight="1">
      <x:c r="A17" s="13" t="str">
        <x:v>28632043</x:v>
      </x:c>
      <x:c r="B17" s="14" t="d">
        <x:v>2026-09-30T00:00:00.000Z</x:v>
      </x:c>
      <x:c r="C17" s="15" t="str">
        <x:v>Credit card</x:v>
      </x:c>
      <x:c r="D17" s="15" t="str">
        <x:v>Problem with a purchase shown on your statement</x:v>
      </x:c>
      <x:c r="E17" s="15" t="str">
        <x:v>WELLS FARGO &amp; COMPANY</x:v>
      </x:c>
      <x:c r="F17" s="15" t="str">
        <x:v>TX</x:v>
      </x:c>
      <x:c r="G17" s="15" t="str">
        <x:v>Yes</x:v>
      </x:c>
      <x:c r="H17" s="15" t="str">
        <x:v>In progress</x:v>
      </x:c>
      <x:c r="I17" s="15" t="str">
        <x:v>Web</x:v>
      </x:c>
      <x:c r="J17" s="16" t="d">
        <x:v>2026-09-30T00:00:00.000Z</x:v>
      </x:c>
      <x:c r="K17" s="15" t="str">
        <x:v>General-purpose credit card or charge card</x:v>
      </x:c>
      <x:c r="L17" s="15" t="str">
        <x:v>Overcharged for something you did purchase with the card</x:v>
      </x:c>
      <x:c r="M17" s="15" t="str">
        <x:f>_xlfn.XLOOKUP(C17,'Lookups'!$A$7:$A$8,'Lookups'!$B$7:$B$8,"Unmapped",0)</x:f>
        <x:v>Card operations</x:v>
      </x:c>
      <x:c r="N17" s="14" t="n">
        <x:f>DATE(YEAR(B17),MONTH(B17),1)</x:f>
        <x:v>46266</x:v>
      </x:c>
    </x:row>
    <x:row r="18" ht="55" customHeight="1">
      <x:c r="A18" s="13" t="str">
        <x:v>28632606</x:v>
      </x:c>
      <x:c r="B18" s="14" t="d">
        <x:v>2026-09-30T00:00:00.000Z</x:v>
      </x:c>
      <x:c r="C18" s="15" t="str">
        <x:v>Credit card</x:v>
      </x:c>
      <x:c r="D18" s="15" t="str">
        <x:v>Advertising and marketing, including promotional offers</x:v>
      </x:c>
      <x:c r="E18" s="15" t="str">
        <x:v>CITIBANK, N.A.</x:v>
      </x:c>
      <x:c r="F18" s="15" t="str">
        <x:v>NC</x:v>
      </x:c>
      <x:c r="G18" s="15" t="str">
        <x:v>Yes</x:v>
      </x:c>
      <x:c r="H18" s="15" t="str">
        <x:v>Closed with explanation</x:v>
      </x:c>
      <x:c r="I18" s="15" t="str">
        <x:v>Web</x:v>
      </x:c>
      <x:c r="J18" s="16" t="d">
        <x:v>2026-09-30T00:00:00.000Z</x:v>
      </x:c>
      <x:c r="K18" s="15" t="str">
        <x:v>General-purpose credit card or charge card</x:v>
      </x:c>
      <x:c r="L18" s="15" t="str">
        <x:v>Didn't receive advertised or promotional terms</x:v>
      </x:c>
      <x:c r="M18" s="15" t="str">
        <x:f>_xlfn.XLOOKUP(C18,'Lookups'!$A$7:$A$8,'Lookups'!$B$7:$B$8,"Unmapped",0)</x:f>
        <x:v>Card operations</x:v>
      </x:c>
      <x:c r="N18" s="14" t="n">
        <x:f>DATE(YEAR(B18),MONTH(B18),1)</x:f>
        <x:v>46266</x:v>
      </x:c>
    </x:row>
    <x:row r="19" ht="55" customHeight="1">
      <x:c r="A19" s="13" t="str">
        <x:v>28632658</x:v>
      </x:c>
      <x:c r="B19" s="14" t="d">
        <x:v>2026-09-30T00:00:00.000Z</x:v>
      </x:c>
      <x:c r="C19" s="15" t="str">
        <x:v>Credit card</x:v>
      </x:c>
      <x:c r="D19" s="15" t="str">
        <x:v>Getting a credit card</x:v>
      </x:c>
      <x:c r="E19" s="15" t="str">
        <x:v>NAVY FEDERAL CREDIT UNION</x:v>
      </x:c>
      <x:c r="F19" s="15" t="str">
        <x:v>CA</x:v>
      </x:c>
      <x:c r="G19" s="15" t="str">
        <x:v>Yes</x:v>
      </x:c>
      <x:c r="H19" s="15" t="str">
        <x:v>In progress</x:v>
      </x:c>
      <x:c r="I19" s="15" t="str">
        <x:v>Web</x:v>
      </x:c>
      <x:c r="J19" s="16" t="d">
        <x:v>2026-09-30T00:00:00.000Z</x:v>
      </x:c>
      <x:c r="K19" s="15" t="str">
        <x:v>General-purpose credit card or charge card</x:v>
      </x:c>
      <x:c r="L19" s="15" t="str">
        <x:v>Card opened without my consent or knowledge</x:v>
      </x:c>
      <x:c r="M19" s="15" t="str">
        <x:f>_xlfn.XLOOKUP(C19,'Lookups'!$A$7:$A$8,'Lookups'!$B$7:$B$8,"Unmapped",0)</x:f>
        <x:v>Card operations</x:v>
      </x:c>
      <x:c r="N19" s="14" t="n">
        <x:f>DATE(YEAR(B19),MONTH(B19),1)</x:f>
        <x:v>46266</x:v>
      </x:c>
    </x:row>
    <x:row r="20" ht="55" customHeight="1">
      <x:c r="A20" s="13" t="str">
        <x:v>28632703</x:v>
      </x:c>
      <x:c r="B20" s="14" t="d">
        <x:v>2026-09-30T00:00:00.000Z</x:v>
      </x:c>
      <x:c r="C20" s="15" t="str">
        <x:v>Checking or savings account</x:v>
      </x:c>
      <x:c r="D20" s="15" t="str">
        <x:v>Closing an account</x:v>
      </x:c>
      <x:c r="E20" s="15" t="str">
        <x:v>Block, Inc.</x:v>
      </x:c>
      <x:c r="F20" s="15" t="str">
        <x:v>TX</x:v>
      </x:c>
      <x:c r="G20" s="15" t="str">
        <x:v>Yes</x:v>
      </x:c>
      <x:c r="H20" s="15" t="str">
        <x:v>Closed with explanation</x:v>
      </x:c>
      <x:c r="I20" s="15" t="str">
        <x:v>Web</x:v>
      </x:c>
      <x:c r="J20" s="16" t="d">
        <x:v>2026-09-30T00:00:00.000Z</x:v>
      </x:c>
      <x:c r="K20" s="15" t="str">
        <x:v>Checking account</x:v>
      </x:c>
      <x:c r="L20" s="15" t="str">
        <x:v>Company closed your account</x:v>
      </x:c>
      <x:c r="M20" s="15" t="str">
        <x:f>_xlfn.XLOOKUP(C20,'Lookups'!$A$7:$A$8,'Lookups'!$B$7:$B$8,"Unmapped",0)</x:f>
        <x:v>Deposit operations</x:v>
      </x:c>
      <x:c r="N20" s="14" t="n">
        <x:f>DATE(YEAR(B20),MONTH(B20),1)</x:f>
        <x:v>46266</x:v>
      </x:c>
    </x:row>
    <x:row r="21" ht="55" customHeight="1">
      <x:c r="A21" s="13" t="str">
        <x:v>28632725</x:v>
      </x:c>
      <x:c r="B21" s="14" t="d">
        <x:v>2026-09-30T00:00:00.000Z</x:v>
      </x:c>
      <x:c r="C21" s="15" t="str">
        <x:v>Checking or savings account</x:v>
      </x:c>
      <x:c r="D21" s="15" t="str">
        <x:v>Managing an account</x:v>
      </x:c>
      <x:c r="E21" s="15" t="str">
        <x:v>REGIONS FINANCIAL CORPORATION</x:v>
      </x:c>
      <x:c r="F21" s="15" t="str">
        <x:v>TN</x:v>
      </x:c>
      <x:c r="G21" s="15" t="str">
        <x:v>Yes</x:v>
      </x:c>
      <x:c r="H21" s="15" t="str">
        <x:v>In progress</x:v>
      </x:c>
      <x:c r="I21" s="15" t="str">
        <x:v>Web</x:v>
      </x:c>
      <x:c r="J21" s="16" t="d">
        <x:v>2026-09-30T00:00:00.000Z</x:v>
      </x:c>
      <x:c r="K21" s="15" t="str">
        <x:v>Checking account</x:v>
      </x:c>
      <x:c r="L21" s="15" t="str">
        <x:v>Problem making or receiving payments</x:v>
      </x:c>
      <x:c r="M21" s="15" t="str">
        <x:f>_xlfn.XLOOKUP(C21,'Lookups'!$A$7:$A$8,'Lookups'!$B$7:$B$8,"Unmapped",0)</x:f>
        <x:v>Deposit operations</x:v>
      </x:c>
      <x:c r="N21" s="14" t="n">
        <x:f>DATE(YEAR(B21),MONTH(B21),1)</x:f>
        <x:v>46266</x:v>
      </x:c>
    </x:row>
    <x:row r="22" ht="55" customHeight="1">
      <x:c r="A22" s="13" t="str">
        <x:v>28632833</x:v>
      </x:c>
      <x:c r="B22" s="14" t="d">
        <x:v>2026-09-30T00:00:00.000Z</x:v>
      </x:c>
      <x:c r="C22" s="15" t="str">
        <x:v>Credit card</x:v>
      </x:c>
      <x:c r="D22" s="15" t="str">
        <x:v>Trouble using your card</x:v>
      </x:c>
      <x:c r="E22" s="15" t="str">
        <x:v>SYNCHRONY FINANCIAL</x:v>
      </x:c>
      <x:c r="F22" s="15" t="str">
        <x:v>FL</x:v>
      </x:c>
      <x:c r="G22" s="15" t="str">
        <x:v>Yes</x:v>
      </x:c>
      <x:c r="H22" s="15" t="str">
        <x:v>In progress</x:v>
      </x:c>
      <x:c r="I22" s="15" t="str">
        <x:v>Web</x:v>
      </x:c>
      <x:c r="J22" s="16" t="d">
        <x:v>2026-09-30T00:00:00.000Z</x:v>
      </x:c>
      <x:c r="K22" s="15" t="str">
        <x:v>General-purpose credit card or charge card</x:v>
      </x:c>
      <x:c r="L22" s="15" t="str">
        <x:v>Can't use card to make purchases</x:v>
      </x:c>
      <x:c r="M22" s="15" t="str">
        <x:f>_xlfn.XLOOKUP(C22,'Lookups'!$A$7:$A$8,'Lookups'!$B$7:$B$8,"Unmapped",0)</x:f>
        <x:v>Card operations</x:v>
      </x:c>
      <x:c r="N22" s="14" t="n">
        <x:f>DATE(YEAR(B22),MONTH(B22),1)</x:f>
        <x:v>46266</x:v>
      </x:c>
    </x:row>
    <x:row r="23" ht="55" customHeight="1">
      <x:c r="A23" s="13" t="str">
        <x:v>28632846</x:v>
      </x:c>
      <x:c r="B23" s="14" t="d">
        <x:v>2026-09-30T00:00:00.000Z</x:v>
      </x:c>
      <x:c r="C23" s="15" t="str">
        <x:v>Credit card</x:v>
      </x:c>
      <x:c r="D23" s="15" t="str">
        <x:v>Closing your account</x:v>
      </x:c>
      <x:c r="E23" s="15" t="str">
        <x:v>BANK OF AMERICA, NATIONAL ASSOCIATION</x:v>
      </x:c>
      <x:c r="F23" s="15" t="str">
        <x:v>AK</x:v>
      </x:c>
      <x:c r="G23" s="15" t="str">
        <x:v>Yes</x:v>
      </x:c>
      <x:c r="H23" s="15" t="str">
        <x:v>In progress</x:v>
      </x:c>
      <x:c r="I23" s="15" t="str">
        <x:v>Web</x:v>
      </x:c>
      <x:c r="J23" s="16" t="d">
        <x:v>2026-09-30T00:00:00.000Z</x:v>
      </x:c>
      <x:c r="K23" s="15" t="str">
        <x:v>General-purpose credit card or charge card</x:v>
      </x:c>
      <x:c r="L23" s="15" t="str">
        <x:v>Can't close your account</x:v>
      </x:c>
      <x:c r="M23" s="15" t="str">
        <x:f>_xlfn.XLOOKUP(C23,'Lookups'!$A$7:$A$8,'Lookups'!$B$7:$B$8,"Unmapped",0)</x:f>
        <x:v>Card operations</x:v>
      </x:c>
      <x:c r="N23" s="14" t="n">
        <x:f>DATE(YEAR(B23),MONTH(B23),1)</x:f>
        <x:v>46266</x:v>
      </x:c>
    </x:row>
    <x:row r="24" ht="55" customHeight="1">
      <x:c r="A24" s="13" t="str">
        <x:v>28632962</x:v>
      </x:c>
      <x:c r="B24" s="14" t="d">
        <x:v>2026-09-30T00:00:00.000Z</x:v>
      </x:c>
      <x:c r="C24" s="15" t="str">
        <x:v>Credit card</x:v>
      </x:c>
      <x:c r="D24" s="15" t="str">
        <x:v>Fees or interest</x:v>
      </x:c>
      <x:c r="E24" s="15" t="str">
        <x:v>SYNCHRONY FINANCIAL</x:v>
      </x:c>
      <x:c r="F24" s="15" t="str">
        <x:v>NY</x:v>
      </x:c>
      <x:c r="G24" s="15" t="str">
        <x:v>Yes</x:v>
      </x:c>
      <x:c r="H24" s="15" t="str">
        <x:v>In progress</x:v>
      </x:c>
      <x:c r="I24" s="15" t="str">
        <x:v>Web</x:v>
      </x:c>
      <x:c r="J24" s="16" t="d">
        <x:v>2026-09-30T00:00:00.000Z</x:v>
      </x:c>
      <x:c r="K24" s="15" t="str">
        <x:v>General-purpose credit card or charge card</x:v>
      </x:c>
      <x:c r="L24" s="15" t="str">
        <x:v>Charged too much interest</x:v>
      </x:c>
      <x:c r="M24" s="15" t="str">
        <x:f>_xlfn.XLOOKUP(C24,'Lookups'!$A$7:$A$8,'Lookups'!$B$7:$B$8,"Unmapped",0)</x:f>
        <x:v>Card operations</x:v>
      </x:c>
      <x:c r="N24" s="14" t="n">
        <x:f>DATE(YEAR(B24),MONTH(B24),1)</x:f>
        <x:v>46266</x:v>
      </x:c>
    </x:row>
    <x:row r="25" ht="55" customHeight="1">
      <x:c r="A25" s="13" t="str">
        <x:v>28633048</x:v>
      </x:c>
      <x:c r="B25" s="14" t="d">
        <x:v>2026-09-30T00:00:00.000Z</x:v>
      </x:c>
      <x:c r="C25" s="15" t="str">
        <x:v>Credit card</x:v>
      </x:c>
      <x:c r="D25" s="15" t="str">
        <x:v>Closing your account</x:v>
      </x:c>
      <x:c r="E25" s="15" t="str">
        <x:v>CAPITAL ONE FINANCIAL CORPORATION</x:v>
      </x:c>
      <x:c r="F25" s="15" t="str">
        <x:v>NY</x:v>
      </x:c>
      <x:c r="G25" s="15" t="str">
        <x:v>Yes</x:v>
      </x:c>
      <x:c r="H25" s="15" t="str">
        <x:v>In progress</x:v>
      </x:c>
      <x:c r="I25" s="15" t="str">
        <x:v>Web</x:v>
      </x:c>
      <x:c r="J25" s="16" t="d">
        <x:v>2026-09-30T00:00:00.000Z</x:v>
      </x:c>
      <x:c r="K25" s="15" t="str">
        <x:v>General-purpose credit card or charge card</x:v>
      </x:c>
      <x:c r="L25" s="15" t="str">
        <x:v>Company closed your account</x:v>
      </x:c>
      <x:c r="M25" s="15" t="str">
        <x:f>_xlfn.XLOOKUP(C25,'Lookups'!$A$7:$A$8,'Lookups'!$B$7:$B$8,"Unmapped",0)</x:f>
        <x:v>Card operations</x:v>
      </x:c>
      <x:c r="N25" s="14" t="n">
        <x:f>DATE(YEAR(B25),MONTH(B25),1)</x:f>
        <x:v>46266</x:v>
      </x:c>
    </x:row>
    <x:row r="26" ht="55" customHeight="1">
      <x:c r="A26" s="13" t="str">
        <x:v>28633062</x:v>
      </x:c>
      <x:c r="B26" s="14" t="d">
        <x:v>2026-09-30T00:00:00.000Z</x:v>
      </x:c>
      <x:c r="C26" s="15" t="str">
        <x:v>Checking or savings account</x:v>
      </x:c>
      <x:c r="D26" s="15" t="str">
        <x:v>Managing an account</x:v>
      </x:c>
      <x:c r="E26" s="15" t="str">
        <x:v>SYNCHRONY FINANCIAL</x:v>
      </x:c>
      <x:c r="F26" s="15" t="str">
        <x:v>PA</x:v>
      </x:c>
      <x:c r="G26" s="15" t="str">
        <x:v>Yes</x:v>
      </x:c>
      <x:c r="H26" s="15" t="str">
        <x:v>In progress</x:v>
      </x:c>
      <x:c r="I26" s="15" t="str">
        <x:v>Web</x:v>
      </x:c>
      <x:c r="J26" s="16" t="d">
        <x:v>2026-09-30T00:00:00.000Z</x:v>
      </x:c>
      <x:c r="K26" s="15" t="str">
        <x:v>Checking account</x:v>
      </x:c>
      <x:c r="L26" s="15" t="str">
        <x:v>Deposits and withdrawals</x:v>
      </x:c>
      <x:c r="M26" s="15" t="str">
        <x:f>_xlfn.XLOOKUP(C26,'Lookups'!$A$7:$A$8,'Lookups'!$B$7:$B$8,"Unmapped",0)</x:f>
        <x:v>Deposit operations</x:v>
      </x:c>
      <x:c r="N26" s="14" t="n">
        <x:f>DATE(YEAR(B26),MONTH(B26),1)</x:f>
        <x:v>46266</x:v>
      </x:c>
    </x:row>
    <x:row r="27" ht="55" customHeight="1">
      <x:c r="A27" s="13" t="str">
        <x:v>28633071</x:v>
      </x:c>
      <x:c r="B27" s="14" t="d">
        <x:v>2026-09-30T00:00:00.000Z</x:v>
      </x:c>
      <x:c r="C27" s="15" t="str">
        <x:v>Credit card</x:v>
      </x:c>
      <x:c r="D27" s="15" t="str">
        <x:v>Getting a credit card</x:v>
      </x:c>
      <x:c r="E27" s="15" t="str">
        <x:v>Self Financial Inc.</x:v>
      </x:c>
      <x:c r="F27" s="15" t="str">
        <x:v>IL</x:v>
      </x:c>
      <x:c r="G27" s="15" t="str">
        <x:v>Yes</x:v>
      </x:c>
      <x:c r="H27" s="15" t="str">
        <x:v>In progress</x:v>
      </x:c>
      <x:c r="I27" s="15" t="str">
        <x:v>Web</x:v>
      </x:c>
      <x:c r="J27" s="16" t="d">
        <x:v>2026-09-30T00:00:00.000Z</x:v>
      </x:c>
      <x:c r="K27" s="15" t="str">
        <x:v>General-purpose credit card or charge card</x:v>
      </x:c>
      <x:c r="L27" s="15" t="str">
        <x:v>Card opened without my consent or knowledge</x:v>
      </x:c>
      <x:c r="M27" s="15" t="str">
        <x:f>_xlfn.XLOOKUP(C27,'Lookups'!$A$7:$A$8,'Lookups'!$B$7:$B$8,"Unmapped",0)</x:f>
        <x:v>Card operations</x:v>
      </x:c>
      <x:c r="N27" s="14" t="n">
        <x:f>DATE(YEAR(B27),MONTH(B27),1)</x:f>
        <x:v>46266</x:v>
      </x:c>
    </x:row>
    <x:row r="28" ht="55" customHeight="1">
      <x:c r="A28" s="13" t="str">
        <x:v>28633879</x:v>
      </x:c>
      <x:c r="B28" s="14" t="d">
        <x:v>2026-09-30T00:00:00.000Z</x:v>
      </x:c>
      <x:c r="C28" s="15" t="str">
        <x:v>Checking or savings account</x:v>
      </x:c>
      <x:c r="D28" s="15" t="str">
        <x:v>Managing an account</x:v>
      </x:c>
      <x:c r="E28" s="15" t="str">
        <x:v>BANK OF AMERICA, NATIONAL ASSOCIATION</x:v>
      </x:c>
      <x:c r="F28" s="15" t="str">
        <x:v>NC</x:v>
      </x:c>
      <x:c r="G28" s="15" t="str">
        <x:v>Yes</x:v>
      </x:c>
      <x:c r="H28" s="15" t="str">
        <x:v>In progress</x:v>
      </x:c>
      <x:c r="I28" s="15" t="str">
        <x:v>Web</x:v>
      </x:c>
      <x:c r="J28" s="16" t="d">
        <x:v>2026-09-30T00:00:00.000Z</x:v>
      </x:c>
      <x:c r="K28" s="15" t="str">
        <x:v>Checking account</x:v>
      </x:c>
      <x:c r="L28" s="15" t="str">
        <x:v>Problem using a debit or ATM card</x:v>
      </x:c>
      <x:c r="M28" s="15" t="str">
        <x:f>_xlfn.XLOOKUP(C28,'Lookups'!$A$7:$A$8,'Lookups'!$B$7:$B$8,"Unmapped",0)</x:f>
        <x:v>Deposit operations</x:v>
      </x:c>
      <x:c r="N28" s="14" t="n">
        <x:f>DATE(YEAR(B28),MONTH(B28),1)</x:f>
        <x:v>46266</x:v>
      </x:c>
    </x:row>
    <x:row r="29" ht="55" customHeight="1">
      <x:c r="A29" s="13" t="str">
        <x:v>28634088</x:v>
      </x:c>
      <x:c r="B29" s="14" t="d">
        <x:v>2026-09-30T00:00:00.000Z</x:v>
      </x:c>
      <x:c r="C29" s="15" t="str">
        <x:v>Credit card</x:v>
      </x:c>
      <x:c r="D29" s="15" t="str">
        <x:v>Fees or interest</x:v>
      </x:c>
      <x:c r="E29" s="15" t="str">
        <x:v>CITIBANK, N.A.</x:v>
      </x:c>
      <x:c r="F29" s="15" t="str">
        <x:v>HI</x:v>
      </x:c>
      <x:c r="G29" s="15" t="str">
        <x:v>Yes</x:v>
      </x:c>
      <x:c r="H29" s="15" t="str">
        <x:v>Closed with explanation</x:v>
      </x:c>
      <x:c r="I29" s="15" t="str">
        <x:v>Web</x:v>
      </x:c>
      <x:c r="J29" s="16" t="d">
        <x:v>2026-09-30T00:00:00.000Z</x:v>
      </x:c>
      <x:c r="K29" s="15" t="str">
        <x:v>General-purpose credit card or charge card</x:v>
      </x:c>
      <x:c r="L29" s="15" t="str">
        <x:v>Problem with fees</x:v>
      </x:c>
      <x:c r="M29" s="15" t="str">
        <x:f>_xlfn.XLOOKUP(C29,'Lookups'!$A$7:$A$8,'Lookups'!$B$7:$B$8,"Unmapped",0)</x:f>
        <x:v>Card operations</x:v>
      </x:c>
      <x:c r="N29" s="14" t="n">
        <x:f>DATE(YEAR(B29),MONTH(B29),1)</x:f>
        <x:v>46266</x:v>
      </x:c>
    </x:row>
    <x:row r="30" ht="55" customHeight="1">
      <x:c r="A30" s="13" t="str">
        <x:v>28634179</x:v>
      </x:c>
      <x:c r="B30" s="14" t="d">
        <x:v>2026-09-30T00:00:00.000Z</x:v>
      </x:c>
      <x:c r="C30" s="15" t="str">
        <x:v>Credit card</x:v>
      </x:c>
      <x:c r="D30" s="15" t="str">
        <x:v>Incorrect information on your report</x:v>
      </x:c>
      <x:c r="E30" s="15" t="str">
        <x:v>Bread Financial Holdings, Inc.</x:v>
      </x:c>
      <x:c r="F30" s="15" t="str">
        <x:v>FL</x:v>
      </x:c>
      <x:c r="G30" s="15" t="str">
        <x:v>Yes</x:v>
      </x:c>
      <x:c r="H30" s="15" t="str">
        <x:v>Closed with explanation</x:v>
      </x:c>
      <x:c r="I30" s="15" t="str">
        <x:v>Web</x:v>
      </x:c>
      <x:c r="J30" s="16" t="d">
        <x:v>2026-09-30T00:00:00.000Z</x:v>
      </x:c>
      <x:c r="K30" s="15" t="str">
        <x:v>Store credit card</x:v>
      </x:c>
      <x:c r="L30" s="15" t="str">
        <x:v>Account information incorrect</x:v>
      </x:c>
      <x:c r="M30" s="15" t="str">
        <x:f>_xlfn.XLOOKUP(C30,'Lookups'!$A$7:$A$8,'Lookups'!$B$7:$B$8,"Unmapped",0)</x:f>
        <x:v>Card operations</x:v>
      </x:c>
      <x:c r="N30" s="14" t="n">
        <x:f>DATE(YEAR(B30),MONTH(B30),1)</x:f>
        <x:v>46266</x:v>
      </x:c>
    </x:row>
    <x:row r="31" ht="55" customHeight="1">
      <x:c r="A31" s="13" t="str">
        <x:v>28634205</x:v>
      </x:c>
      <x:c r="B31" s="14" t="d">
        <x:v>2026-09-30T00:00:00.000Z</x:v>
      </x:c>
      <x:c r="C31" s="15" t="str">
        <x:v>Credit card</x:v>
      </x:c>
      <x:c r="D31" s="15" t="str">
        <x:v>Problem with a purchase shown on your statement</x:v>
      </x:c>
      <x:c r="E31" s="15" t="str">
        <x:v>CAPITAL ONE FINANCIAL CORPORATION</x:v>
      </x:c>
      <x:c r="F31" s="15" t="str">
        <x:v>FL</x:v>
      </x:c>
      <x:c r="G31" s="15" t="str">
        <x:v>Yes</x:v>
      </x:c>
      <x:c r="H31" s="15" t="str">
        <x:v>In progress</x:v>
      </x:c>
      <x:c r="I31" s="15" t="str">
        <x:v>Web</x:v>
      </x:c>
      <x:c r="J31" s="16" t="d">
        <x:v>2026-09-30T00:00:00.000Z</x:v>
      </x:c>
      <x:c r="K31" s="15" t="str">
        <x:v>General-purpose credit card or charge card</x:v>
      </x:c>
      <x:c r="L31" s="15" t="str">
        <x:v>Credit card company isn't resolving a dispute about a purchase on your statement</x:v>
      </x:c>
      <x:c r="M31" s="15" t="str">
        <x:f>_xlfn.XLOOKUP(C31,'Lookups'!$A$7:$A$8,'Lookups'!$B$7:$B$8,"Unmapped",0)</x:f>
        <x:v>Card operations</x:v>
      </x:c>
      <x:c r="N31" s="14" t="n">
        <x:f>DATE(YEAR(B31),MONTH(B31),1)</x:f>
        <x:v>46266</x:v>
      </x:c>
    </x:row>
    <x:row r="32" ht="55" customHeight="1">
      <x:c r="A32" s="13" t="str">
        <x:v>28634241</x:v>
      </x:c>
      <x:c r="B32" s="14" t="d">
        <x:v>2026-09-30T00:00:00.000Z</x:v>
      </x:c>
      <x:c r="C32" s="15" t="str">
        <x:v>Credit card</x:v>
      </x:c>
      <x:c r="D32" s="15" t="str">
        <x:v>Problem with a purchase shown on your statement</x:v>
      </x:c>
      <x:c r="E32" s="15" t="str">
        <x:v>SYNCHRONY FINANCIAL</x:v>
      </x:c>
      <x:c r="F32" s="15" t="str">
        <x:v>GA</x:v>
      </x:c>
      <x:c r="G32" s="15" t="str">
        <x:v>Yes</x:v>
      </x:c>
      <x:c r="H32" s="15" t="str">
        <x:v>In progress</x:v>
      </x:c>
      <x:c r="I32" s="15" t="str">
        <x:v>Web</x:v>
      </x:c>
      <x:c r="J32" s="16" t="d">
        <x:v>2026-09-30T00:00:00.000Z</x:v>
      </x:c>
      <x:c r="K32" s="15" t="str">
        <x:v>General-purpose credit card or charge card</x:v>
      </x:c>
      <x:c r="L32" s="15" t="str">
        <x:v>Credit card company isn't resolving a dispute about a purchase on your statement</x:v>
      </x:c>
      <x:c r="M32" s="15" t="str">
        <x:f>_xlfn.XLOOKUP(C32,'Lookups'!$A$7:$A$8,'Lookups'!$B$7:$B$8,"Unmapped",0)</x:f>
        <x:v>Card operations</x:v>
      </x:c>
      <x:c r="N32" s="14" t="n">
        <x:f>DATE(YEAR(B32),MONTH(B32),1)</x:f>
        <x:v>46266</x:v>
      </x:c>
    </x:row>
    <x:row r="33" ht="55" customHeight="1">
      <x:c r="A33" s="13" t="str">
        <x:v>28634393</x:v>
      </x:c>
      <x:c r="B33" s="14" t="d">
        <x:v>2026-09-30T00:00:00.000Z</x:v>
      </x:c>
      <x:c r="C33" s="15" t="str">
        <x:v>Checking or savings account</x:v>
      </x:c>
      <x:c r="D33" s="15" t="str">
        <x:v>Managing an account</x:v>
      </x:c>
      <x:c r="E33" s="15" t="str">
        <x:v>ROBINHOOD MARKETS INC.</x:v>
      </x:c>
      <x:c r="F33" s="15" t="str">
        <x:v>NV</x:v>
      </x:c>
      <x:c r="G33" s="15" t="str">
        <x:v>Yes</x:v>
      </x:c>
      <x:c r="H33" s="15" t="str">
        <x:v>In progress</x:v>
      </x:c>
      <x:c r="I33" s="15" t="str">
        <x:v>Web</x:v>
      </x:c>
      <x:c r="J33" s="16" t="d">
        <x:v>2026-09-30T00:00:00.000Z</x:v>
      </x:c>
      <x:c r="K33" s="15" t="str">
        <x:v>Checking account</x:v>
      </x:c>
      <x:c r="L33" s="15" t="str">
        <x:v>Problem using a debit or ATM card</x:v>
      </x:c>
      <x:c r="M33" s="15" t="str">
        <x:f>_xlfn.XLOOKUP(C33,'Lookups'!$A$7:$A$8,'Lookups'!$B$7:$B$8,"Unmapped",0)</x:f>
        <x:v>Deposit operations</x:v>
      </x:c>
      <x:c r="N33" s="14" t="n">
        <x:f>DATE(YEAR(B33),MONTH(B33),1)</x:f>
        <x:v>46266</x:v>
      </x:c>
    </x:row>
    <x:row r="34" ht="55" customHeight="1">
      <x:c r="A34" s="13" t="str">
        <x:v>28634445</x:v>
      </x:c>
      <x:c r="B34" s="14" t="d">
        <x:v>2026-09-30T00:00:00.000Z</x:v>
      </x:c>
      <x:c r="C34" s="15" t="str">
        <x:v>Checking or savings account</x:v>
      </x:c>
      <x:c r="D34" s="15" t="str">
        <x:v>Managing an account</x:v>
      </x:c>
      <x:c r="E34" s="15" t="str">
        <x:v>JPMORGAN CHASE &amp; CO.</x:v>
      </x:c>
      <x:c r="F34" s="15" t="str">
        <x:v>IL</x:v>
      </x:c>
      <x:c r="G34" s="15" t="str">
        <x:v>Yes</x:v>
      </x:c>
      <x:c r="H34" s="15" t="str">
        <x:v>Closed with explanation</x:v>
      </x:c>
      <x:c r="I34" s="15" t="str">
        <x:v>Web</x:v>
      </x:c>
      <x:c r="J34" s="16" t="d">
        <x:v>2026-09-30T00:00:00.000Z</x:v>
      </x:c>
      <x:c r="K34" s="15" t="str">
        <x:v>Checking account</x:v>
      </x:c>
      <x:c r="L34" s="15" t="str">
        <x:v>Banking errors</x:v>
      </x:c>
      <x:c r="M34" s="15" t="str">
        <x:f>_xlfn.XLOOKUP(C34,'Lookups'!$A$7:$A$8,'Lookups'!$B$7:$B$8,"Unmapped",0)</x:f>
        <x:v>Deposit operations</x:v>
      </x:c>
      <x:c r="N34" s="14" t="n">
        <x:f>DATE(YEAR(B34),MONTH(B34),1)</x:f>
        <x:v>46266</x:v>
      </x:c>
    </x:row>
    <x:row r="35" ht="55" customHeight="1">
      <x:c r="A35" s="13" t="str">
        <x:v>28634583</x:v>
      </x:c>
      <x:c r="B35" s="14" t="d">
        <x:v>2026-09-30T00:00:00.000Z</x:v>
      </x:c>
      <x:c r="C35" s="15" t="str">
        <x:v>Credit card</x:v>
      </x:c>
      <x:c r="D35" s="15" t="str">
        <x:v>Problem with a purchase shown on your statement</x:v>
      </x:c>
      <x:c r="E35" s="15" t="str">
        <x:v>GOLDMAN SACHS BANK USA</x:v>
      </x:c>
      <x:c r="F35" s="15" t="str">
        <x:v>WI</x:v>
      </x:c>
      <x:c r="G35" s="15" t="str">
        <x:v>Yes</x:v>
      </x:c>
      <x:c r="H35" s="15" t="str">
        <x:v>Closed with explanation</x:v>
      </x:c>
      <x:c r="I35" s="15" t="str">
        <x:v>Web</x:v>
      </x:c>
      <x:c r="J35" s="16" t="d">
        <x:v>2026-09-30T00:00:00.000Z</x:v>
      </x:c>
      <x:c r="K35" s="15" t="str">
        <x:v>General-purpose credit card or charge card</x:v>
      </x:c>
      <x:c r="L35" s="15" t="str">
        <x:v>Credit card company isn't resolving a dispute about a purchase on your statement</x:v>
      </x:c>
      <x:c r="M35" s="15" t="str">
        <x:f>_xlfn.XLOOKUP(C35,'Lookups'!$A$7:$A$8,'Lookups'!$B$7:$B$8,"Unmapped",0)</x:f>
        <x:v>Card operations</x:v>
      </x:c>
      <x:c r="N35" s="14" t="n">
        <x:f>DATE(YEAR(B35),MONTH(B35),1)</x:f>
        <x:v>46266</x:v>
      </x:c>
    </x:row>
    <x:row r="36" ht="55" customHeight="1">
      <x:c r="A36" s="13" t="str">
        <x:v>28634676</x:v>
      </x:c>
      <x:c r="B36" s="14" t="d">
        <x:v>2026-09-30T00:00:00.000Z</x:v>
      </x:c>
      <x:c r="C36" s="15" t="str">
        <x:v>Checking or savings account</x:v>
      </x:c>
      <x:c r="D36" s="15" t="str">
        <x:v>Closing an account</x:v>
      </x:c>
      <x:c r="E36" s="15" t="str">
        <x:v>SOFI TECHNOLOGIES, INC.</x:v>
      </x:c>
      <x:c r="F36" s="15" t="str">
        <x:v>CA</x:v>
      </x:c>
      <x:c r="G36" s="15" t="str">
        <x:v>Yes</x:v>
      </x:c>
      <x:c r="H36" s="15" t="str">
        <x:v>Closed with explanation</x:v>
      </x:c>
      <x:c r="I36" s="15" t="str">
        <x:v>Web</x:v>
      </x:c>
      <x:c r="J36" s="16" t="d">
        <x:v>2026-09-30T00:00:00.000Z</x:v>
      </x:c>
      <x:c r="K36" s="15" t="str">
        <x:v>Other banking product or service</x:v>
      </x:c>
      <x:c r="L36" s="15" t="str">
        <x:v>Funds not received from closed account</x:v>
      </x:c>
      <x:c r="M36" s="15" t="str">
        <x:f>_xlfn.XLOOKUP(C36,'Lookups'!$A$7:$A$8,'Lookups'!$B$7:$B$8,"Unmapped",0)</x:f>
        <x:v>Deposit operations</x:v>
      </x:c>
      <x:c r="N36" s="14" t="n">
        <x:f>DATE(YEAR(B36),MONTH(B36),1)</x:f>
        <x:v>46266</x:v>
      </x:c>
    </x:row>
    <x:row r="37" ht="55" customHeight="1">
      <x:c r="A37" s="13" t="str">
        <x:v>28634693</x:v>
      </x:c>
      <x:c r="B37" s="14" t="d">
        <x:v>2026-09-30T00:00:00.000Z</x:v>
      </x:c>
      <x:c r="C37" s="15" t="str">
        <x:v>Checking or savings account</x:v>
      </x:c>
      <x:c r="D37" s="15" t="str">
        <x:v>Opening an account</x:v>
      </x:c>
      <x:c r="E37" s="15" t="str">
        <x:v>BANK OF AMERICA, NATIONAL ASSOCIATION</x:v>
      </x:c>
      <x:c r="F37" s="15" t="str">
        <x:v>TX</x:v>
      </x:c>
      <x:c r="G37" s="15" t="str">
        <x:v>Yes</x:v>
      </x:c>
      <x:c r="H37" s="15" t="str">
        <x:v>In progress</x:v>
      </x:c>
      <x:c r="I37" s="15" t="str">
        <x:v>Web</x:v>
      </x:c>
      <x:c r="J37" s="16" t="d">
        <x:v>2026-09-30T00:00:00.000Z</x:v>
      </x:c>
      <x:c r="K37" s="15" t="str">
        <x:v>Checking account</x:v>
      </x:c>
      <x:c r="L37" s="15" t="str">
        <x:v>Unable to open an account</x:v>
      </x:c>
      <x:c r="M37" s="15" t="str">
        <x:f>_xlfn.XLOOKUP(C37,'Lookups'!$A$7:$A$8,'Lookups'!$B$7:$B$8,"Unmapped",0)</x:f>
        <x:v>Deposit operations</x:v>
      </x:c>
      <x:c r="N37" s="14" t="n">
        <x:f>DATE(YEAR(B37),MONTH(B37),1)</x:f>
        <x:v>46266</x:v>
      </x:c>
    </x:row>
    <x:row r="38" ht="55" customHeight="1">
      <x:c r="A38" s="13" t="str">
        <x:v>28634779</x:v>
      </x:c>
      <x:c r="B38" s="14" t="d">
        <x:v>2026-09-30T00:00:00.000Z</x:v>
      </x:c>
      <x:c r="C38" s="15" t="str">
        <x:v>Checking or savings account</x:v>
      </x:c>
      <x:c r="D38" s="15" t="str">
        <x:v>Managing an account</x:v>
      </x:c>
      <x:c r="E38" s="15" t="str">
        <x:v>Chime Financial Inc</x:v>
      </x:c>
      <x:c r="F38" s="15" t="str">
        <x:v>OH</x:v>
      </x:c>
      <x:c r="G38" s="15" t="str">
        <x:v>Yes</x:v>
      </x:c>
      <x:c r="H38" s="15" t="str">
        <x:v>Closed with explanation</x:v>
      </x:c>
      <x:c r="I38" s="15" t="str">
        <x:v>Web</x:v>
      </x:c>
      <x:c r="J38" s="16" t="d">
        <x:v>2026-09-30T00:00:00.000Z</x:v>
      </x:c>
      <x:c r="K38" s="15" t="str">
        <x:v>Other banking product or service</x:v>
      </x:c>
      <x:c r="L38" s="15" t="str">
        <x:v>Problem making or receiving payments</x:v>
      </x:c>
      <x:c r="M38" s="15" t="str">
        <x:f>_xlfn.XLOOKUP(C38,'Lookups'!$A$7:$A$8,'Lookups'!$B$7:$B$8,"Unmapped",0)</x:f>
        <x:v>Deposit operations</x:v>
      </x:c>
      <x:c r="N38" s="14" t="n">
        <x:f>DATE(YEAR(B38),MONTH(B38),1)</x:f>
        <x:v>46266</x:v>
      </x:c>
    </x:row>
    <x:row r="39" ht="55" customHeight="1">
      <x:c r="A39" s="13" t="str">
        <x:v>28634886</x:v>
      </x:c>
      <x:c r="B39" s="14" t="d">
        <x:v>2026-09-30T00:00:00.000Z</x:v>
      </x:c>
      <x:c r="C39" s="15" t="str">
        <x:v>Credit card</x:v>
      </x:c>
      <x:c r="D39" s="15" t="str">
        <x:v>Problem with a company's investigation into an existing problem</x:v>
      </x:c>
      <x:c r="E39" s="15" t="str">
        <x:v>GOLDMAN SACHS BANK USA</x:v>
      </x:c>
      <x:c r="F39" s="15" t="str">
        <x:v>FL</x:v>
      </x:c>
      <x:c r="G39" s="15" t="str">
        <x:v>Yes</x:v>
      </x:c>
      <x:c r="H39" s="15" t="str">
        <x:v>Closed with explanation</x:v>
      </x:c>
      <x:c r="I39" s="15" t="str">
        <x:v>Web</x:v>
      </x:c>
      <x:c r="J39" s="16" t="d">
        <x:v>2026-09-30T00:00:00.000Z</x:v>
      </x:c>
      <x:c r="K39" s="15" t="str">
        <x:v>General-purpose credit card or charge card</x:v>
      </x:c>
      <x:c r="L39" s="15" t="str">
        <x:v>Difficulty submitting a dispute or getting information about a dispute over the phone</x:v>
      </x:c>
      <x:c r="M39" s="15" t="str">
        <x:f>_xlfn.XLOOKUP(C39,'Lookups'!$A$7:$A$8,'Lookups'!$B$7:$B$8,"Unmapped",0)</x:f>
        <x:v>Card operations</x:v>
      </x:c>
      <x:c r="N39" s="14" t="n">
        <x:f>DATE(YEAR(B39),MONTH(B39),1)</x:f>
        <x:v>46266</x:v>
      </x:c>
    </x:row>
    <x:row r="40" ht="55" customHeight="1">
      <x:c r="A40" s="13" t="str">
        <x:v>28634920</x:v>
      </x:c>
      <x:c r="B40" s="14" t="d">
        <x:v>2026-09-30T00:00:00.000Z</x:v>
      </x:c>
      <x:c r="C40" s="15" t="str">
        <x:v>Checking or savings account</x:v>
      </x:c>
      <x:c r="D40" s="15" t="str">
        <x:v>Managing an account</x:v>
      </x:c>
      <x:c r="E40" s="15" t="str">
        <x:v>JPMORGAN CHASE &amp; CO.</x:v>
      </x:c>
      <x:c r="F40" s="15" t="str">
        <x:v>VA</x:v>
      </x:c>
      <x:c r="G40" s="15" t="str">
        <x:v>Yes</x:v>
      </x:c>
      <x:c r="H40" s="15" t="str">
        <x:v>Closed with monetary relief</x:v>
      </x:c>
      <x:c r="I40" s="15" t="str">
        <x:v>Web</x:v>
      </x:c>
      <x:c r="J40" s="16" t="d">
        <x:v>2026-09-30T00:00:00.000Z</x:v>
      </x:c>
      <x:c r="K40" s="15" t="str">
        <x:v>Checking account</x:v>
      </x:c>
      <x:c r="L40" s="15" t="str">
        <x:v>Cashing a check</x:v>
      </x:c>
      <x:c r="M40" s="15" t="str">
        <x:f>_xlfn.XLOOKUP(C40,'Lookups'!$A$7:$A$8,'Lookups'!$B$7:$B$8,"Unmapped",0)</x:f>
        <x:v>Deposit operations</x:v>
      </x:c>
      <x:c r="N40" s="14" t="n">
        <x:f>DATE(YEAR(B40),MONTH(B40),1)</x:f>
        <x:v>46266</x:v>
      </x:c>
    </x:row>
    <x:row r="41" ht="55" customHeight="1">
      <x:c r="A41" s="13" t="str">
        <x:v>28635067</x:v>
      </x:c>
      <x:c r="B41" s="14" t="d">
        <x:v>2026-09-30T00:00:00.000Z</x:v>
      </x:c>
      <x:c r="C41" s="15" t="str">
        <x:v>Checking or savings account</x:v>
      </x:c>
      <x:c r="D41" s="15" t="str">
        <x:v>Managing an account</x:v>
      </x:c>
      <x:c r="E41" s="15" t="str">
        <x:v>CAPITAL ONE FINANCIAL CORPORATION</x:v>
      </x:c>
      <x:c r="F41" s="15" t="str">
        <x:v>CT</x:v>
      </x:c>
      <x:c r="G41" s="15" t="str">
        <x:v>Yes</x:v>
      </x:c>
      <x:c r="H41" s="15" t="str">
        <x:v>Closed with explanation</x:v>
      </x:c>
      <x:c r="I41" s="15" t="str">
        <x:v>Web</x:v>
      </x:c>
      <x:c r="J41" s="16" t="d">
        <x:v>2026-09-30T00:00:00.000Z</x:v>
      </x:c>
      <x:c r="K41" s="15" t="str">
        <x:v>Checking account</x:v>
      </x:c>
      <x:c r="L41" s="15" t="str">
        <x:v>Problem making or receiving payments</x:v>
      </x:c>
      <x:c r="M41" s="15" t="str">
        <x:f>_xlfn.XLOOKUP(C41,'Lookups'!$A$7:$A$8,'Lookups'!$B$7:$B$8,"Unmapped",0)</x:f>
        <x:v>Deposit operations</x:v>
      </x:c>
      <x:c r="N41" s="14" t="n">
        <x:f>DATE(YEAR(B41),MONTH(B41),1)</x:f>
        <x:v>46266</x:v>
      </x:c>
    </x:row>
    <x:row r="42" ht="55" customHeight="1">
      <x:c r="A42" s="13" t="str">
        <x:v>28635108</x:v>
      </x:c>
      <x:c r="B42" s="14" t="d">
        <x:v>2026-09-30T00:00:00.000Z</x:v>
      </x:c>
      <x:c r="C42" s="15" t="str">
        <x:v>Credit card</x:v>
      </x:c>
      <x:c r="D42" s="15" t="str">
        <x:v>Problem with a purchase shown on your statement</x:v>
      </x:c>
      <x:c r="E42" s="15" t="str">
        <x:v>WELLS FARGO &amp; COMPANY</x:v>
      </x:c>
      <x:c r="F42" s="15" t="str">
        <x:v>NC</x:v>
      </x:c>
      <x:c r="G42" s="15" t="str">
        <x:v>Yes</x:v>
      </x:c>
      <x:c r="H42" s="15" t="str">
        <x:v>Closed with explanation</x:v>
      </x:c>
      <x:c r="I42" s="15" t="str">
        <x:v>Web</x:v>
      </x:c>
      <x:c r="J42" s="16" t="d">
        <x:v>2026-09-30T00:00:00.000Z</x:v>
      </x:c>
      <x:c r="K42" s="15" t="str">
        <x:v>General-purpose credit card or charge card</x:v>
      </x:c>
      <x:c r="L42" s="15" t="str">
        <x:v>Credit card company isn't resolving a dispute about a purchase on your statement</x:v>
      </x:c>
      <x:c r="M42" s="15" t="str">
        <x:f>_xlfn.XLOOKUP(C42,'Lookups'!$A$7:$A$8,'Lookups'!$B$7:$B$8,"Unmapped",0)</x:f>
        <x:v>Card operations</x:v>
      </x:c>
      <x:c r="N42" s="14" t="n">
        <x:f>DATE(YEAR(B42),MONTH(B42),1)</x:f>
        <x:v>46266</x:v>
      </x:c>
    </x:row>
    <x:row r="43" ht="55" customHeight="1">
      <x:c r="A43" s="13" t="str">
        <x:v>28635130</x:v>
      </x:c>
      <x:c r="B43" s="14" t="d">
        <x:v>2026-09-30T00:00:00.000Z</x:v>
      </x:c>
      <x:c r="C43" s="15" t="str">
        <x:v>Checking or savings account</x:v>
      </x:c>
      <x:c r="D43" s="15" t="str">
        <x:v>Problem with a lender or other company charging your account</x:v>
      </x:c>
      <x:c r="E43" s="15" t="str">
        <x:v>GOLDEN 1 CREDIT UNION, THE</x:v>
      </x:c>
      <x:c r="F43" s="15" t="str">
        <x:v>CA</x:v>
      </x:c>
      <x:c r="G43" s="15" t="str">
        <x:v>Yes</x:v>
      </x:c>
      <x:c r="H43" s="15" t="str">
        <x:v>Closed with explanation</x:v>
      </x:c>
      <x:c r="I43" s="15" t="str">
        <x:v>Web</x:v>
      </x:c>
      <x:c r="J43" s="16" t="d">
        <x:v>2026-09-30T00:00:00.000Z</x:v>
      </x:c>
      <x:c r="K43" s="15" t="str">
        <x:v>Checking account</x:v>
      </x:c>
      <x:c r="L43" s="15" t="str">
        <x:v>Transaction was not authorized</x:v>
      </x:c>
      <x:c r="M43" s="15" t="str">
        <x:f>_xlfn.XLOOKUP(C43,'Lookups'!$A$7:$A$8,'Lookups'!$B$7:$B$8,"Unmapped",0)</x:f>
        <x:v>Deposit operations</x:v>
      </x:c>
      <x:c r="N43" s="14" t="n">
        <x:f>DATE(YEAR(B43),MONTH(B43),1)</x:f>
        <x:v>46266</x:v>
      </x:c>
    </x:row>
    <x:row r="44" ht="55" customHeight="1">
      <x:c r="A44" s="13" t="str">
        <x:v>28635491</x:v>
      </x:c>
      <x:c r="B44" s="14" t="d">
        <x:v>2026-09-30T00:00:00.000Z</x:v>
      </x:c>
      <x:c r="C44" s="15" t="str">
        <x:v>Credit card</x:v>
      </x:c>
      <x:c r="D44" s="15" t="str">
        <x:v>Problem with a purchase shown on your statement</x:v>
      </x:c>
      <x:c r="E44" s="15" t="str">
        <x:v>BANK OF AMERICA, NATIONAL ASSOCIATION</x:v>
      </x:c>
      <x:c r="F44" s="15" t="str">
        <x:v>GA</x:v>
      </x:c>
      <x:c r="G44" s="15" t="str">
        <x:v>Yes</x:v>
      </x:c>
      <x:c r="H44" s="15" t="str">
        <x:v>In progress</x:v>
      </x:c>
      <x:c r="I44" s="15" t="str">
        <x:v>Web</x:v>
      </x:c>
      <x:c r="J44" s="16" t="d">
        <x:v>2026-09-30T00:00:00.000Z</x:v>
      </x:c>
      <x:c r="K44" s="15" t="str">
        <x:v>General-purpose credit card or charge card</x:v>
      </x:c>
      <x:c r="L44" s="15" t="str">
        <x:v>Credit card company isn't resolving a dispute about a purchase on your statement</x:v>
      </x:c>
      <x:c r="M44" s="15" t="str">
        <x:f>_xlfn.XLOOKUP(C44,'Lookups'!$A$7:$A$8,'Lookups'!$B$7:$B$8,"Unmapped",0)</x:f>
        <x:v>Card operations</x:v>
      </x:c>
      <x:c r="N44" s="14" t="n">
        <x:f>DATE(YEAR(B44),MONTH(B44),1)</x:f>
        <x:v>46266</x:v>
      </x:c>
    </x:row>
    <x:row r="45" ht="55" customHeight="1">
      <x:c r="A45" s="13" t="str">
        <x:v>28636174</x:v>
      </x:c>
      <x:c r="B45" s="14" t="d">
        <x:v>2026-09-30T00:00:00.000Z</x:v>
      </x:c>
      <x:c r="C45" s="15" t="str">
        <x:v>Checking or savings account</x:v>
      </x:c>
      <x:c r="D45" s="15" t="str">
        <x:v>Managing an account</x:v>
      </x:c>
      <x:c r="E45" s="15" t="str">
        <x:v>CAPITAL ONE FINANCIAL CORPORATION</x:v>
      </x:c>
      <x:c r="F45" s="15" t="str">
        <x:v>MD</x:v>
      </x:c>
      <x:c r="G45" s="15" t="str">
        <x:v>Yes</x:v>
      </x:c>
      <x:c r="H45" s="15" t="str">
        <x:v>In progress</x:v>
      </x:c>
      <x:c r="I45" s="15" t="str">
        <x:v>Web</x:v>
      </x:c>
      <x:c r="J45" s="16" t="d">
        <x:v>2026-09-30T00:00:00.000Z</x:v>
      </x:c>
      <x:c r="K45" s="15" t="str">
        <x:v>Checking account</x:v>
      </x:c>
      <x:c r="L45" s="15" t="str">
        <x:v>Banking errors</x:v>
      </x:c>
      <x:c r="M45" s="15" t="str">
        <x:f>_xlfn.XLOOKUP(C45,'Lookups'!$A$7:$A$8,'Lookups'!$B$7:$B$8,"Unmapped",0)</x:f>
        <x:v>Deposit operations</x:v>
      </x:c>
      <x:c r="N45" s="14" t="n">
        <x:f>DATE(YEAR(B45),MONTH(B45),1)</x:f>
        <x:v>46266</x:v>
      </x:c>
    </x:row>
    <x:row r="46" ht="55" customHeight="1">
      <x:c r="A46" s="13" t="str">
        <x:v>28636197</x:v>
      </x:c>
      <x:c r="B46" s="14" t="d">
        <x:v>2026-09-30T00:00:00.000Z</x:v>
      </x:c>
      <x:c r="C46" s="15" t="str">
        <x:v>Credit card</x:v>
      </x:c>
      <x:c r="D46" s="15" t="str">
        <x:v>Problem with a purchase shown on your statement</x:v>
      </x:c>
      <x:c r="E46" s="15" t="str">
        <x:v>WELLS FARGO &amp; COMPANY</x:v>
      </x:c>
      <x:c r="F46" s="15" t="str">
        <x:v>GA</x:v>
      </x:c>
      <x:c r="G46" s="15" t="str">
        <x:v>Yes</x:v>
      </x:c>
      <x:c r="H46" s="15" t="str">
        <x:v>In progress</x:v>
      </x:c>
      <x:c r="I46" s="15" t="str">
        <x:v>Web</x:v>
      </x:c>
      <x:c r="J46" s="16" t="d">
        <x:v>2026-09-30T00:00:00.000Z</x:v>
      </x:c>
      <x:c r="K46" s="15" t="str">
        <x:v>General-purpose credit card or charge card</x:v>
      </x:c>
      <x:c r="L46" s="15" t="str">
        <x:v>Credit card company isn't resolving a dispute about a purchase on your statement</x:v>
      </x:c>
      <x:c r="M46" s="15" t="str">
        <x:f>_xlfn.XLOOKUP(C46,'Lookups'!$A$7:$A$8,'Lookups'!$B$7:$B$8,"Unmapped",0)</x:f>
        <x:v>Card operations</x:v>
      </x:c>
      <x:c r="N46" s="14" t="n">
        <x:f>DATE(YEAR(B46),MONTH(B46),1)</x:f>
        <x:v>46266</x:v>
      </x:c>
    </x:row>
    <x:row r="47" ht="55" customHeight="1">
      <x:c r="A47" s="13" t="str">
        <x:v>28636241</x:v>
      </x:c>
      <x:c r="B47" s="14" t="d">
        <x:v>2026-09-30T00:00:00.000Z</x:v>
      </x:c>
      <x:c r="C47" s="15" t="str">
        <x:v>Credit card</x:v>
      </x:c>
      <x:c r="D47" s="15" t="str">
        <x:v>Fees or interest</x:v>
      </x:c>
      <x:c r="E47" s="15" t="str">
        <x:v>CAPITAL ONE FINANCIAL CORPORATION</x:v>
      </x:c>
      <x:c r="F47" s="15" t="str">
        <x:v>NY</x:v>
      </x:c>
      <x:c r="G47" s="15" t="str">
        <x:v>Yes</x:v>
      </x:c>
      <x:c r="H47" s="15" t="str">
        <x:v>Closed with explanation</x:v>
      </x:c>
      <x:c r="I47" s="15" t="str">
        <x:v>Web</x:v>
      </x:c>
      <x:c r="J47" s="16" t="d">
        <x:v>2026-09-30T00:00:00.000Z</x:v>
      </x:c>
      <x:c r="K47" s="15" t="str">
        <x:v>General-purpose credit card or charge card</x:v>
      </x:c>
      <x:c r="L47" s="15" t="str">
        <x:v>Problem with fees</x:v>
      </x:c>
      <x:c r="M47" s="15" t="str">
        <x:f>_xlfn.XLOOKUP(C47,'Lookups'!$A$7:$A$8,'Lookups'!$B$7:$B$8,"Unmapped",0)</x:f>
        <x:v>Card operations</x:v>
      </x:c>
      <x:c r="N47" s="14" t="n">
        <x:f>DATE(YEAR(B47),MONTH(B47),1)</x:f>
        <x:v>46266</x:v>
      </x:c>
    </x:row>
    <x:row r="48" ht="55" customHeight="1">
      <x:c r="A48" s="13" t="str">
        <x:v>28636303</x:v>
      </x:c>
      <x:c r="B48" s="14" t="d">
        <x:v>2026-09-30T00:00:00.000Z</x:v>
      </x:c>
      <x:c r="C48" s="15" t="str">
        <x:v>Credit card</x:v>
      </x:c>
      <x:c r="D48" s="15" t="str">
        <x:v>Problem with a purchase shown on your statement</x:v>
      </x:c>
      <x:c r="E48" s="15" t="str">
        <x:v>BANK OF AMERICA, NATIONAL ASSOCIATION</x:v>
      </x:c>
      <x:c r="F48" s="15" t="str">
        <x:v>WI</x:v>
      </x:c>
      <x:c r="G48" s="15" t="str">
        <x:v>Yes</x:v>
      </x:c>
      <x:c r="H48" s="15" t="str">
        <x:v>Closed with explanation</x:v>
      </x:c>
      <x:c r="I48" s="15" t="str">
        <x:v>Web</x:v>
      </x:c>
      <x:c r="J48" s="16" t="d">
        <x:v>2026-09-30T00:00:00.000Z</x:v>
      </x:c>
      <x:c r="K48" s="15" t="str">
        <x:v>General-purpose credit card or charge card</x:v>
      </x:c>
      <x:c r="L48" s="15" t="str">
        <x:v>Card was charged for something you did not purchase with the card</x:v>
      </x:c>
      <x:c r="M48" s="15" t="str">
        <x:f>_xlfn.XLOOKUP(C48,'Lookups'!$A$7:$A$8,'Lookups'!$B$7:$B$8,"Unmapped",0)</x:f>
        <x:v>Card operations</x:v>
      </x:c>
      <x:c r="N48" s="14" t="n">
        <x:f>DATE(YEAR(B48),MONTH(B48),1)</x:f>
        <x:v>46266</x:v>
      </x:c>
    </x:row>
    <x:row r="49" ht="55" customHeight="1">
      <x:c r="A49" s="13" t="str">
        <x:v>28636506</x:v>
      </x:c>
      <x:c r="B49" s="14" t="d">
        <x:v>2026-09-30T00:00:00.000Z</x:v>
      </x:c>
      <x:c r="C49" s="15" t="str">
        <x:v>Credit card</x:v>
      </x:c>
      <x:c r="D49" s="15" t="str">
        <x:v>Getting a credit card</x:v>
      </x:c>
      <x:c r="E49" s="15" t="str">
        <x:v>CAPITAL ONE FINANCIAL CORPORATION</x:v>
      </x:c>
      <x:c r="F49" s="15" t="str">
        <x:v>DC</x:v>
      </x:c>
      <x:c r="G49" s="15" t="str">
        <x:v>Yes</x:v>
      </x:c>
      <x:c r="H49" s="15" t="str">
        <x:v>Closed with explanation</x:v>
      </x:c>
      <x:c r="I49" s="15" t="str">
        <x:v>Web</x:v>
      </x:c>
      <x:c r="J49" s="16" t="d">
        <x:v>2026-09-30T00:00:00.000Z</x:v>
      </x:c>
      <x:c r="K49" s="15" t="str">
        <x:v>General-purpose credit card or charge card</x:v>
      </x:c>
      <x:c r="L49" s="15" t="str">
        <x:v>Card opened without my consent or knowledge</x:v>
      </x:c>
      <x:c r="M49" s="15" t="str">
        <x:f>_xlfn.XLOOKUP(C49,'Lookups'!$A$7:$A$8,'Lookups'!$B$7:$B$8,"Unmapped",0)</x:f>
        <x:v>Card operations</x:v>
      </x:c>
      <x:c r="N49" s="14" t="n">
        <x:f>DATE(YEAR(B49),MONTH(B49),1)</x:f>
        <x:v>46266</x:v>
      </x:c>
    </x:row>
    <x:row r="50" ht="55" customHeight="1">
      <x:c r="A50" s="13" t="str">
        <x:v>28636549</x:v>
      </x:c>
      <x:c r="B50" s="14" t="d">
        <x:v>2026-09-30T00:00:00.000Z</x:v>
      </x:c>
      <x:c r="C50" s="15" t="str">
        <x:v>Credit card</x:v>
      </x:c>
      <x:c r="D50" s="15" t="str">
        <x:v>Problem when making payments</x:v>
      </x:c>
      <x:c r="E50" s="15" t="str">
        <x:v>CITIBANK, N.A.</x:v>
      </x:c>
      <x:c r="F50" s="15" t="str">
        <x:v>NY</x:v>
      </x:c>
      <x:c r="G50" s="15" t="str">
        <x:v>Yes</x:v>
      </x:c>
      <x:c r="H50" s="15" t="str">
        <x:v>Closed with explanation</x:v>
      </x:c>
      <x:c r="I50" s="15" t="str">
        <x:v>Web</x:v>
      </x:c>
      <x:c r="J50" s="16" t="d">
        <x:v>2026-09-30T00:00:00.000Z</x:v>
      </x:c>
      <x:c r="K50" s="15" t="str">
        <x:v>General-purpose credit card or charge card</x:v>
      </x:c>
      <x:c r="L50" s="15" t="str">
        <x:v>Problem during payment process</x:v>
      </x:c>
      <x:c r="M50" s="15" t="str">
        <x:f>_xlfn.XLOOKUP(C50,'Lookups'!$A$7:$A$8,'Lookups'!$B$7:$B$8,"Unmapped",0)</x:f>
        <x:v>Card operations</x:v>
      </x:c>
      <x:c r="N50" s="14" t="n">
        <x:f>DATE(YEAR(B50),MONTH(B50),1)</x:f>
        <x:v>46266</x:v>
      </x:c>
    </x:row>
    <x:row r="51" ht="55" customHeight="1">
      <x:c r="A51" s="13" t="str">
        <x:v>28636579</x:v>
      </x:c>
      <x:c r="B51" s="14" t="d">
        <x:v>2026-09-30T00:00:00.000Z</x:v>
      </x:c>
      <x:c r="C51" s="15" t="str">
        <x:v>Credit card</x:v>
      </x:c>
      <x:c r="D51" s="15" t="str">
        <x:v>Problem with a purchase shown on your statement</x:v>
      </x:c>
      <x:c r="E51" s="15" t="str">
        <x:v>GOLDMAN SACHS BANK USA</x:v>
      </x:c>
      <x:c r="F51" s="15" t="str">
        <x:v>AZ</x:v>
      </x:c>
      <x:c r="G51" s="15" t="str">
        <x:v>Yes</x:v>
      </x:c>
      <x:c r="H51" s="15" t="str">
        <x:v>Closed with explanation</x:v>
      </x:c>
      <x:c r="I51" s="15" t="str">
        <x:v>Web</x:v>
      </x:c>
      <x:c r="J51" s="16" t="d">
        <x:v>2026-09-30T00:00:00.000Z</x:v>
      </x:c>
      <x:c r="K51" s="15" t="str">
        <x:v>General-purpose credit card or charge card</x:v>
      </x:c>
      <x:c r="L51" s="15" t="str">
        <x:v>Credit card company isn't resolving a dispute about a purchase on your statement</x:v>
      </x:c>
      <x:c r="M51" s="15" t="str">
        <x:f>_xlfn.XLOOKUP(C51,'Lookups'!$A$7:$A$8,'Lookups'!$B$7:$B$8,"Unmapped",0)</x:f>
        <x:v>Card operations</x:v>
      </x:c>
      <x:c r="N51" s="14" t="n">
        <x:f>DATE(YEAR(B51),MONTH(B51),1)</x:f>
        <x:v>46266</x:v>
      </x:c>
    </x:row>
    <x:row r="52" ht="55" customHeight="1">
      <x:c r="A52" s="13" t="str">
        <x:v>28636671</x:v>
      </x:c>
      <x:c r="B52" s="14" t="d">
        <x:v>2026-09-30T00:00:00.000Z</x:v>
      </x:c>
      <x:c r="C52" s="15" t="str">
        <x:v>Credit card</x:v>
      </x:c>
      <x:c r="D52" s="15" t="str">
        <x:v>Problem with a purchase shown on your statement</x:v>
      </x:c>
      <x:c r="E52" s="15" t="str">
        <x:v>SYNCHRONY FINANCIAL</x:v>
      </x:c>
      <x:c r="F52" s="15" t="str">
        <x:v>CA</x:v>
      </x:c>
      <x:c r="G52" s="15" t="str">
        <x:v>Yes</x:v>
      </x:c>
      <x:c r="H52" s="15" t="str">
        <x:v>In progress</x:v>
      </x:c>
      <x:c r="I52" s="15" t="str">
        <x:v>Web</x:v>
      </x:c>
      <x:c r="J52" s="16" t="d">
        <x:v>2026-09-30T00:00:00.000Z</x:v>
      </x:c>
      <x:c r="K52" s="15" t="str">
        <x:v>General-purpose credit card or charge card</x:v>
      </x:c>
      <x:c r="L52" s="15" t="str">
        <x:v>Credit card company isn't resolving a dispute about a purchase on your statement</x:v>
      </x:c>
      <x:c r="M52" s="15" t="str">
        <x:f>_xlfn.XLOOKUP(C52,'Lookups'!$A$7:$A$8,'Lookups'!$B$7:$B$8,"Unmapped",0)</x:f>
        <x:v>Card operations</x:v>
      </x:c>
      <x:c r="N52" s="14" t="n">
        <x:f>DATE(YEAR(B52),MONTH(B52),1)</x:f>
        <x:v>46266</x:v>
      </x:c>
    </x:row>
    <x:row r="53" ht="55" customHeight="1">
      <x:c r="A53" s="13" t="str">
        <x:v>28636712</x:v>
      </x:c>
      <x:c r="B53" s="14" t="d">
        <x:v>2026-09-30T00:00:00.000Z</x:v>
      </x:c>
      <x:c r="C53" s="15" t="str">
        <x:v>Credit card</x:v>
      </x:c>
      <x:c r="D53" s="15" t="str">
        <x:v>Getting a credit card</x:v>
      </x:c>
      <x:c r="E53" s="15" t="str">
        <x:v>SYNCHRONY FINANCIAL</x:v>
      </x:c>
      <x:c r="F53" s="15" t="str">
        <x:v>CA</x:v>
      </x:c>
      <x:c r="G53" s="15" t="str">
        <x:v>Yes</x:v>
      </x:c>
      <x:c r="H53" s="15" t="str">
        <x:v>In progress</x:v>
      </x:c>
      <x:c r="I53" s="15" t="str">
        <x:v>Web</x:v>
      </x:c>
      <x:c r="J53" s="16" t="d">
        <x:v>2026-09-30T00:00:00.000Z</x:v>
      </x:c>
      <x:c r="K53" s="15" t="str">
        <x:v>General-purpose credit card or charge card</x:v>
      </x:c>
      <x:c r="L53" s="15" t="str">
        <x:v>Card opened without my consent or knowledge</x:v>
      </x:c>
      <x:c r="M53" s="15" t="str">
        <x:f>_xlfn.XLOOKUP(C53,'Lookups'!$A$7:$A$8,'Lookups'!$B$7:$B$8,"Unmapped",0)</x:f>
        <x:v>Card operations</x:v>
      </x:c>
      <x:c r="N53" s="14" t="n">
        <x:f>DATE(YEAR(B53),MONTH(B53),1)</x:f>
        <x:v>46266</x:v>
      </x:c>
    </x:row>
    <x:row r="54" ht="55" customHeight="1">
      <x:c r="A54" s="13" t="str">
        <x:v>28636715</x:v>
      </x:c>
      <x:c r="B54" s="14" t="d">
        <x:v>2026-09-30T00:00:00.000Z</x:v>
      </x:c>
      <x:c r="C54" s="15" t="str">
        <x:v>Checking or savings account</x:v>
      </x:c>
      <x:c r="D54" s="15" t="str">
        <x:v>Managing an account</x:v>
      </x:c>
      <x:c r="E54" s="15" t="str">
        <x:v>NAVY FEDERAL CREDIT UNION</x:v>
      </x:c>
      <x:c r="F54" s="15" t="str">
        <x:v>NJ</x:v>
      </x:c>
      <x:c r="G54" s="15" t="str">
        <x:v>Yes</x:v>
      </x:c>
      <x:c r="H54" s="15" t="str">
        <x:v>In progress</x:v>
      </x:c>
      <x:c r="I54" s="15" t="str">
        <x:v>Web</x:v>
      </x:c>
      <x:c r="J54" s="16" t="d">
        <x:v>2026-09-30T00:00:00.000Z</x:v>
      </x:c>
      <x:c r="K54" s="15" t="str">
        <x:v>Checking account</x:v>
      </x:c>
      <x:c r="L54" s="15" t="str">
        <x:v>Deposits and withdrawals</x:v>
      </x:c>
      <x:c r="M54" s="15" t="str">
        <x:f>_xlfn.XLOOKUP(C54,'Lookups'!$A$7:$A$8,'Lookups'!$B$7:$B$8,"Unmapped",0)</x:f>
        <x:v>Deposit operations</x:v>
      </x:c>
      <x:c r="N54" s="14" t="n">
        <x:f>DATE(YEAR(B54),MONTH(B54),1)</x:f>
        <x:v>46266</x:v>
      </x:c>
    </x:row>
    <x:row r="55" ht="55" customHeight="1">
      <x:c r="A55" s="13" t="str">
        <x:v>28636858</x:v>
      </x:c>
      <x:c r="B55" s="14" t="d">
        <x:v>2026-09-30T00:00:00.000Z</x:v>
      </x:c>
      <x:c r="C55" s="15" t="str">
        <x:v>Credit card</x:v>
      </x:c>
      <x:c r="D55" s="15" t="str">
        <x:v>Problem with a purchase shown on your statement</x:v>
      </x:c>
      <x:c r="E55" s="15" t="str">
        <x:v>Affirm Holdings, Inc</x:v>
      </x:c>
      <x:c r="F55" s="15" t="str">
        <x:v>CA</x:v>
      </x:c>
      <x:c r="G55" s="15" t="str">
        <x:v>Yes</x:v>
      </x:c>
      <x:c r="H55" s="15" t="str">
        <x:v>Closed with explanation</x:v>
      </x:c>
      <x:c r="I55" s="15" t="str">
        <x:v>Web</x:v>
      </x:c>
      <x:c r="J55" s="16" t="d">
        <x:v>2026-09-30T00:00:00.000Z</x:v>
      </x:c>
      <x:c r="K55" s="15" t="str">
        <x:v>General-purpose credit card or charge card</x:v>
      </x:c>
      <x:c r="L55" s="15" t="str">
        <x:v>Credit card company isn't resolving a dispute about a purchase on your statement</x:v>
      </x:c>
      <x:c r="M55" s="15" t="str">
        <x:f>_xlfn.XLOOKUP(C55,'Lookups'!$A$7:$A$8,'Lookups'!$B$7:$B$8,"Unmapped",0)</x:f>
        <x:v>Card operations</x:v>
      </x:c>
      <x:c r="N55" s="14" t="n">
        <x:f>DATE(YEAR(B55),MONTH(B55),1)</x:f>
        <x:v>46266</x:v>
      </x:c>
    </x:row>
    <x:row r="56" ht="55" customHeight="1">
      <x:c r="A56" s="13" t="str">
        <x:v>28636866</x:v>
      </x:c>
      <x:c r="B56" s="14" t="d">
        <x:v>2026-09-30T00:00:00.000Z</x:v>
      </x:c>
      <x:c r="C56" s="15" t="str">
        <x:v>Credit card</x:v>
      </x:c>
      <x:c r="D56" s="15" t="str">
        <x:v>Trouble using your card</x:v>
      </x:c>
      <x:c r="E56" s="15" t="str">
        <x:v>CAPITAL ONE FINANCIAL CORPORATION</x:v>
      </x:c>
      <x:c r="F56" s="15" t="str">
        <x:v>TX</x:v>
      </x:c>
      <x:c r="G56" s="15" t="str">
        <x:v>Yes</x:v>
      </x:c>
      <x:c r="H56" s="15" t="str">
        <x:v>Closed with non-monetary relief</x:v>
      </x:c>
      <x:c r="I56" s="15" t="str">
        <x:v>Web</x:v>
      </x:c>
      <x:c r="J56" s="16" t="d">
        <x:v>2026-09-30T00:00:00.000Z</x:v>
      </x:c>
      <x:c r="K56" s="15" t="str">
        <x:v>General-purpose credit card or charge card</x:v>
      </x:c>
      <x:c r="L56" s="15" t="str">
        <x:v>Can't use card to make purchases</x:v>
      </x:c>
      <x:c r="M56" s="15" t="str">
        <x:f>_xlfn.XLOOKUP(C56,'Lookups'!$A$7:$A$8,'Lookups'!$B$7:$B$8,"Unmapped",0)</x:f>
        <x:v>Card operations</x:v>
      </x:c>
      <x:c r="N56" s="14" t="n">
        <x:f>DATE(YEAR(B56),MONTH(B56),1)</x:f>
        <x:v>46266</x:v>
      </x:c>
    </x:row>
    <x:row r="57" ht="55" customHeight="1">
      <x:c r="A57" s="13" t="str">
        <x:v>28636900</x:v>
      </x:c>
      <x:c r="B57" s="14" t="d">
        <x:v>2026-09-30T00:00:00.000Z</x:v>
      </x:c>
      <x:c r="C57" s="15" t="str">
        <x:v>Checking or savings account</x:v>
      </x:c>
      <x:c r="D57" s="15" t="str">
        <x:v>Managing an account</x:v>
      </x:c>
      <x:c r="E57" s="15" t="str">
        <x:v>BANK OF AMERICA, NATIONAL ASSOCIATION</x:v>
      </x:c>
      <x:c r="F57" s="15" t="str">
        <x:v>NC</x:v>
      </x:c>
      <x:c r="G57" s="15" t="str">
        <x:v>Yes</x:v>
      </x:c>
      <x:c r="H57" s="15" t="str">
        <x:v>In progress</x:v>
      </x:c>
      <x:c r="I57" s="15" t="str">
        <x:v>Web</x:v>
      </x:c>
      <x:c r="J57" s="16" t="d">
        <x:v>2026-09-30T00:00:00.000Z</x:v>
      </x:c>
      <x:c r="K57" s="15" t="str">
        <x:v>Checking account</x:v>
      </x:c>
      <x:c r="L57" s="15" t="str">
        <x:v>Problem using a debit or ATM card</x:v>
      </x:c>
      <x:c r="M57" s="15" t="str">
        <x:f>_xlfn.XLOOKUP(C57,'Lookups'!$A$7:$A$8,'Lookups'!$B$7:$B$8,"Unmapped",0)</x:f>
        <x:v>Deposit operations</x:v>
      </x:c>
      <x:c r="N57" s="14" t="n">
        <x:f>DATE(YEAR(B57),MONTH(B57),1)</x:f>
        <x:v>46266</x:v>
      </x:c>
    </x:row>
    <x:row r="58" ht="55" customHeight="1">
      <x:c r="A58" s="13" t="str">
        <x:v>28637048</x:v>
      </x:c>
      <x:c r="B58" s="14" t="d">
        <x:v>2026-09-30T00:00:00.000Z</x:v>
      </x:c>
      <x:c r="C58" s="15" t="str">
        <x:v>Checking or savings account</x:v>
      </x:c>
      <x:c r="D58" s="15" t="str">
        <x:v>Problem caused by your funds being low</x:v>
      </x:c>
      <x:c r="E58" s="15" t="str">
        <x:v>ALLY FINANCIAL INC.</x:v>
      </x:c>
      <x:c r="F58" s="15" t="str">
        <x:v>NY</x:v>
      </x:c>
      <x:c r="G58" s="15" t="str">
        <x:v>Yes</x:v>
      </x:c>
      <x:c r="H58" s="15" t="str">
        <x:v>In progress</x:v>
      </x:c>
      <x:c r="I58" s="15" t="str">
        <x:v>Web</x:v>
      </x:c>
      <x:c r="J58" s="16" t="d">
        <x:v>2026-09-30T00:00:00.000Z</x:v>
      </x:c>
      <x:c r="K58" s="15" t="str">
        <x:v>Checking account</x:v>
      </x:c>
      <x:c r="L58" s="15" t="str">
        <x:v>Bounced checks or returned payments</x:v>
      </x:c>
      <x:c r="M58" s="15" t="str">
        <x:f>_xlfn.XLOOKUP(C58,'Lookups'!$A$7:$A$8,'Lookups'!$B$7:$B$8,"Unmapped",0)</x:f>
        <x:v>Deposit operations</x:v>
      </x:c>
      <x:c r="N58" s="14" t="n">
        <x:f>DATE(YEAR(B58),MONTH(B58),1)</x:f>
        <x:v>46266</x:v>
      </x:c>
    </x:row>
    <x:row r="59" ht="55" customHeight="1">
      <x:c r="A59" s="13" t="str">
        <x:v>28637055</x:v>
      </x:c>
      <x:c r="B59" s="14" t="d">
        <x:v>2026-09-30T00:00:00.000Z</x:v>
      </x:c>
      <x:c r="C59" s="15" t="str">
        <x:v>Credit card</x:v>
      </x:c>
      <x:c r="D59" s="15" t="str">
        <x:v>Problem with a purchase shown on your statement</x:v>
      </x:c>
      <x:c r="E59" s="15" t="str">
        <x:v>AMERICAN EXPRESS COMPANY</x:v>
      </x:c>
      <x:c r="F59" s="15" t="str">
        <x:v>FL</x:v>
      </x:c>
      <x:c r="G59" s="15" t="str">
        <x:v>Yes</x:v>
      </x:c>
      <x:c r="H59" s="15" t="str">
        <x:v>Closed with monetary relief</x:v>
      </x:c>
      <x:c r="I59" s="15" t="str">
        <x:v>Web</x:v>
      </x:c>
      <x:c r="J59" s="16" t="d">
        <x:v>2026-09-30T00:00:00.000Z</x:v>
      </x:c>
      <x:c r="K59" s="15" t="str">
        <x:v>General-purpose credit card or charge card</x:v>
      </x:c>
      <x:c r="L59" s="15" t="str">
        <x:v>Credit card company isn't resolving a dispute about a purchase on your statement</x:v>
      </x:c>
      <x:c r="M59" s="15" t="str">
        <x:f>_xlfn.XLOOKUP(C59,'Lookups'!$A$7:$A$8,'Lookups'!$B$7:$B$8,"Unmapped",0)</x:f>
        <x:v>Card operations</x:v>
      </x:c>
      <x:c r="N59" s="14" t="n">
        <x:f>DATE(YEAR(B59),MONTH(B59),1)</x:f>
        <x:v>46266</x:v>
      </x:c>
    </x:row>
    <x:row r="60" ht="55" customHeight="1">
      <x:c r="A60" s="13" t="str">
        <x:v>28637067</x:v>
      </x:c>
      <x:c r="B60" s="14" t="d">
        <x:v>2026-09-30T00:00:00.000Z</x:v>
      </x:c>
      <x:c r="C60" s="15" t="str">
        <x:v>Credit card</x:v>
      </x:c>
      <x:c r="D60" s="15" t="str">
        <x:v>Problem with a purchase shown on your statement</x:v>
      </x:c>
      <x:c r="E60" s="15" t="str">
        <x:v>Mercury Financial Intermediate LLC</x:v>
      </x:c>
      <x:c r="F60" s="15" t="str">
        <x:v>PA</x:v>
      </x:c>
      <x:c r="G60" s="15" t="str">
        <x:v>Yes</x:v>
      </x:c>
      <x:c r="H60" s="15" t="str">
        <x:v>In progress</x:v>
      </x:c>
      <x:c r="I60" s="15" t="str">
        <x:v>Web</x:v>
      </x:c>
      <x:c r="J60" s="16" t="d">
        <x:v>2026-09-30T00:00:00.000Z</x:v>
      </x:c>
      <x:c r="K60" s="15" t="str">
        <x:v>General-purpose credit card or charge card</x:v>
      </x:c>
      <x:c r="L60" s="15" t="str">
        <x:v>Credit card company isn't resolving a dispute about a purchase on your statement</x:v>
      </x:c>
      <x:c r="M60" s="15" t="str">
        <x:f>_xlfn.XLOOKUP(C60,'Lookups'!$A$7:$A$8,'Lookups'!$B$7:$B$8,"Unmapped",0)</x:f>
        <x:v>Card operations</x:v>
      </x:c>
      <x:c r="N60" s="14" t="n">
        <x:f>DATE(YEAR(B60),MONTH(B60),1)</x:f>
        <x:v>46266</x:v>
      </x:c>
    </x:row>
    <x:row r="61" ht="55" customHeight="1">
      <x:c r="A61" s="13" t="str">
        <x:v>28637174</x:v>
      </x:c>
      <x:c r="B61" s="14" t="d">
        <x:v>2026-09-30T00:00:00.000Z</x:v>
      </x:c>
      <x:c r="C61" s="15" t="str">
        <x:v>Checking or savings account</x:v>
      </x:c>
      <x:c r="D61" s="15" t="str">
        <x:v>Problem with a lender or other company charging your account</x:v>
      </x:c>
      <x:c r="E61" s="15" t="str">
        <x:v>UNITED SERVICES AUTOMOBILE ASSOCIATION</x:v>
      </x:c>
      <x:c r="F61" s="15" t="str">
        <x:v>MI</x:v>
      </x:c>
      <x:c r="G61" s="15" t="str">
        <x:v>Yes</x:v>
      </x:c>
      <x:c r="H61" s="15" t="str">
        <x:v>Closed with explanation</x:v>
      </x:c>
      <x:c r="I61" s="15" t="str">
        <x:v>Web</x:v>
      </x:c>
      <x:c r="J61" s="16" t="d">
        <x:v>2026-09-30T00:00:00.000Z</x:v>
      </x:c>
      <x:c r="K61" s="15" t="str">
        <x:v>Checking account</x:v>
      </x:c>
      <x:c r="L61" s="15" t="str">
        <x:v>Transaction was not authorized</x:v>
      </x:c>
      <x:c r="M61" s="15" t="str">
        <x:f>_xlfn.XLOOKUP(C61,'Lookups'!$A$7:$A$8,'Lookups'!$B$7:$B$8,"Unmapped",0)</x:f>
        <x:v>Deposit operations</x:v>
      </x:c>
      <x:c r="N61" s="14" t="n">
        <x:f>DATE(YEAR(B61),MONTH(B61),1)</x:f>
        <x:v>46266</x:v>
      </x:c>
    </x:row>
    <x:row r="62" ht="55" customHeight="1">
      <x:c r="A62" s="13" t="str">
        <x:v>28637210</x:v>
      </x:c>
      <x:c r="B62" s="14" t="d">
        <x:v>2026-09-30T00:00:00.000Z</x:v>
      </x:c>
      <x:c r="C62" s="15" t="str">
        <x:v>Credit card</x:v>
      </x:c>
      <x:c r="D62" s="15" t="str">
        <x:v>Other features, terms, or problems</x:v>
      </x:c>
      <x:c r="E62" s="15" t="str">
        <x:v>CITIBANK, N.A.</x:v>
      </x:c>
      <x:c r="F62" s="15" t="str">
        <x:v>NY</x:v>
      </x:c>
      <x:c r="G62" s="15" t="str">
        <x:v>Yes</x:v>
      </x:c>
      <x:c r="H62" s="15" t="str">
        <x:v>Closed with non-monetary relief</x:v>
      </x:c>
      <x:c r="I62" s="15" t="str">
        <x:v>Web</x:v>
      </x:c>
      <x:c r="J62" s="16" t="d">
        <x:v>2026-09-30T00:00:00.000Z</x:v>
      </x:c>
      <x:c r="K62" s="15" t="str">
        <x:v>General-purpose credit card or charge card</x:v>
      </x:c>
      <x:c r="L62" s="15" t="str">
        <x:v>Other problem</x:v>
      </x:c>
      <x:c r="M62" s="15" t="str">
        <x:f>_xlfn.XLOOKUP(C62,'Lookups'!$A$7:$A$8,'Lookups'!$B$7:$B$8,"Unmapped",0)</x:f>
        <x:v>Card operations</x:v>
      </x:c>
      <x:c r="N62" s="14" t="n">
        <x:f>DATE(YEAR(B62),MONTH(B62),1)</x:f>
        <x:v>46266</x:v>
      </x:c>
    </x:row>
    <x:row r="63" ht="55" customHeight="1">
      <x:c r="A63" s="13" t="str">
        <x:v>28637272</x:v>
      </x:c>
      <x:c r="B63" s="14" t="d">
        <x:v>2026-09-30T00:00:00.000Z</x:v>
      </x:c>
      <x:c r="C63" s="15" t="str">
        <x:v>Checking or savings account</x:v>
      </x:c>
      <x:c r="D63" s="15" t="str">
        <x:v>Managing an account</x:v>
      </x:c>
      <x:c r="E63" s="15" t="str">
        <x:v>WELLS FARGO &amp; COMPANY</x:v>
      </x:c>
      <x:c r="F63" s="15" t="str">
        <x:v>WA</x:v>
      </x:c>
      <x:c r="G63" s="15" t="str">
        <x:v>Yes</x:v>
      </x:c>
      <x:c r="H63" s="15" t="str">
        <x:v>Closed with explanation</x:v>
      </x:c>
      <x:c r="I63" s="15" t="str">
        <x:v>Web</x:v>
      </x:c>
      <x:c r="J63" s="16" t="d">
        <x:v>2026-09-30T00:00:00.000Z</x:v>
      </x:c>
      <x:c r="K63" s="15" t="str">
        <x:v>Checking account</x:v>
      </x:c>
      <x:c r="L63" s="15" t="str">
        <x:v>Deposits and withdrawals</x:v>
      </x:c>
      <x:c r="M63" s="15" t="str">
        <x:f>_xlfn.XLOOKUP(C63,'Lookups'!$A$7:$A$8,'Lookups'!$B$7:$B$8,"Unmapped",0)</x:f>
        <x:v>Deposit operations</x:v>
      </x:c>
      <x:c r="N63" s="14" t="n">
        <x:f>DATE(YEAR(B63),MONTH(B63),1)</x:f>
        <x:v>46266</x:v>
      </x:c>
    </x:row>
    <x:row r="64" ht="55" customHeight="1">
      <x:c r="A64" s="13" t="str">
        <x:v>28637274</x:v>
      </x:c>
      <x:c r="B64" s="14" t="d">
        <x:v>2026-09-30T00:00:00.000Z</x:v>
      </x:c>
      <x:c r="C64" s="15" t="str">
        <x:v>Credit card</x:v>
      </x:c>
      <x:c r="D64" s="15" t="str">
        <x:v>Problem with a company's investigation into an existing problem</x:v>
      </x:c>
      <x:c r="E64" s="15" t="str">
        <x:v>WELLS FARGO &amp; COMPANY</x:v>
      </x:c>
      <x:c r="F64" s="15" t="str">
        <x:v>TX</x:v>
      </x:c>
      <x:c r="G64" s="15" t="str">
        <x:v>Yes</x:v>
      </x:c>
      <x:c r="H64" s="15" t="str">
        <x:v>Closed with explanation</x:v>
      </x:c>
      <x:c r="I64" s="15" t="str">
        <x:v>Web</x:v>
      </x:c>
      <x:c r="J64" s="16" t="d">
        <x:v>2026-09-30T00:00:00.000Z</x:v>
      </x:c>
      <x:c r="K64" s="15" t="str">
        <x:v>General-purpose credit card or charge card</x:v>
      </x:c>
      <x:c r="L64" s="15" t="str">
        <x:v>Their investigation did not fix an error on your report</x:v>
      </x:c>
      <x:c r="M64" s="15" t="str">
        <x:f>_xlfn.XLOOKUP(C64,'Lookups'!$A$7:$A$8,'Lookups'!$B$7:$B$8,"Unmapped",0)</x:f>
        <x:v>Card operations</x:v>
      </x:c>
      <x:c r="N64" s="14" t="n">
        <x:f>DATE(YEAR(B64),MONTH(B64),1)</x:f>
        <x:v>46266</x:v>
      </x:c>
    </x:row>
    <x:row r="65" ht="55" customHeight="1">
      <x:c r="A65" s="13" t="str">
        <x:v>28637432</x:v>
      </x:c>
      <x:c r="B65" s="14" t="d">
        <x:v>2026-09-30T00:00:00.000Z</x:v>
      </x:c>
      <x:c r="C65" s="15" t="str">
        <x:v>Credit card</x:v>
      </x:c>
      <x:c r="D65" s="15" t="str">
        <x:v>Closing your account</x:v>
      </x:c>
      <x:c r="E65" s="15" t="str">
        <x:v>CAPITAL ONE FINANCIAL CORPORATION</x:v>
      </x:c>
      <x:c r="F65" s="15" t="str">
        <x:v>VA</x:v>
      </x:c>
      <x:c r="G65" s="15" t="str">
        <x:v>Yes</x:v>
      </x:c>
      <x:c r="H65" s="15" t="str">
        <x:v>Closed with monetary relief</x:v>
      </x:c>
      <x:c r="I65" s="15" t="str">
        <x:v>Web</x:v>
      </x:c>
      <x:c r="J65" s="16" t="d">
        <x:v>2026-09-30T00:00:00.000Z</x:v>
      </x:c>
      <x:c r="K65" s="15" t="str">
        <x:v>General-purpose credit card or charge card</x:v>
      </x:c>
      <x:c r="L65" s="15" t="str">
        <x:v>Company closed your account</x:v>
      </x:c>
      <x:c r="M65" s="15" t="str">
        <x:f>_xlfn.XLOOKUP(C65,'Lookups'!$A$7:$A$8,'Lookups'!$B$7:$B$8,"Unmapped",0)</x:f>
        <x:v>Card operations</x:v>
      </x:c>
      <x:c r="N65" s="14" t="n">
        <x:f>DATE(YEAR(B65),MONTH(B65),1)</x:f>
        <x:v>46266</x:v>
      </x:c>
    </x:row>
    <x:row r="66" ht="55" customHeight="1">
      <x:c r="A66" s="13" t="str">
        <x:v>28638032</x:v>
      </x:c>
      <x:c r="B66" s="14" t="d">
        <x:v>2026-09-30T00:00:00.000Z</x:v>
      </x:c>
      <x:c r="C66" s="15" t="str">
        <x:v>Checking or savings account</x:v>
      </x:c>
      <x:c r="D66" s="15" t="str">
        <x:v>Managing an account</x:v>
      </x:c>
      <x:c r="E66" s="15" t="str">
        <x:v>JPMORGAN CHASE &amp; CO.</x:v>
      </x:c>
      <x:c r="F66" s="15" t="str">
        <x:v>MO</x:v>
      </x:c>
      <x:c r="G66" s="15" t="str">
        <x:v>Yes</x:v>
      </x:c>
      <x:c r="H66" s="15" t="str">
        <x:v>Closed with explanation</x:v>
      </x:c>
      <x:c r="I66" s="15" t="str">
        <x:v>Web</x:v>
      </x:c>
      <x:c r="J66" s="16" t="d">
        <x:v>2026-09-30T00:00:00.000Z</x:v>
      </x:c>
      <x:c r="K66" s="15" t="str">
        <x:v>Checking account</x:v>
      </x:c>
      <x:c r="L66" s="15" t="str">
        <x:v>Deposits and withdrawals</x:v>
      </x:c>
      <x:c r="M66" s="15" t="str">
        <x:f>_xlfn.XLOOKUP(C66,'Lookups'!$A$7:$A$8,'Lookups'!$B$7:$B$8,"Unmapped",0)</x:f>
        <x:v>Deposit operations</x:v>
      </x:c>
      <x:c r="N66" s="14" t="n">
        <x:f>DATE(YEAR(B66),MONTH(B66),1)</x:f>
        <x:v>46266</x:v>
      </x:c>
    </x:row>
    <x:row r="67" ht="55" customHeight="1">
      <x:c r="A67" s="13" t="str">
        <x:v>28638298</x:v>
      </x:c>
      <x:c r="B67" s="14" t="d">
        <x:v>2026-09-30T00:00:00.000Z</x:v>
      </x:c>
      <x:c r="C67" s="15" t="str">
        <x:v>Checking or savings account</x:v>
      </x:c>
      <x:c r="D67" s="15" t="str">
        <x:v>Problem with a lender or other company charging your account</x:v>
      </x:c>
      <x:c r="E67" s="15" t="str">
        <x:v>BOEING EMPLOYEES' CREDIT UNION</x:v>
      </x:c>
      <x:c r="F67" s="15" t="str">
        <x:v>WA</x:v>
      </x:c>
      <x:c r="G67" s="15" t="str">
        <x:v>Yes</x:v>
      </x:c>
      <x:c r="H67" s="15" t="str">
        <x:v>In progress</x:v>
      </x:c>
      <x:c r="I67" s="15" t="str">
        <x:v>Web</x:v>
      </x:c>
      <x:c r="J67" s="16" t="d">
        <x:v>2026-09-30T00:00:00.000Z</x:v>
      </x:c>
      <x:c r="K67" s="15" t="str">
        <x:v>Checking account</x:v>
      </x:c>
      <x:c r="L67" s="15" t="str">
        <x:v>Transaction was not authorized</x:v>
      </x:c>
      <x:c r="M67" s="15" t="str">
        <x:f>_xlfn.XLOOKUP(C67,'Lookups'!$A$7:$A$8,'Lookups'!$B$7:$B$8,"Unmapped",0)</x:f>
        <x:v>Deposit operations</x:v>
      </x:c>
      <x:c r="N67" s="14" t="n">
        <x:f>DATE(YEAR(B67),MONTH(B67),1)</x:f>
        <x:v>46266</x:v>
      </x:c>
    </x:row>
    <x:row r="68" ht="55" customHeight="1">
      <x:c r="A68" s="13" t="str">
        <x:v>28638382</x:v>
      </x:c>
      <x:c r="B68" s="14" t="d">
        <x:v>2026-09-30T00:00:00.000Z</x:v>
      </x:c>
      <x:c r="C68" s="15" t="str">
        <x:v>Checking or savings account</x:v>
      </x:c>
      <x:c r="D68" s="15" t="str">
        <x:v>Closing an account</x:v>
      </x:c>
      <x:c r="E68" s="15" t="str">
        <x:v>Chime Financial Inc</x:v>
      </x:c>
      <x:c r="F68" s="15" t="str">
        <x:v>WI</x:v>
      </x:c>
      <x:c r="G68" s="15" t="str">
        <x:v>Yes</x:v>
      </x:c>
      <x:c r="H68" s="15" t="str">
        <x:v>Closed with explanation</x:v>
      </x:c>
      <x:c r="I68" s="15" t="str">
        <x:v>Web</x:v>
      </x:c>
      <x:c r="J68" s="16" t="d">
        <x:v>2026-09-30T00:00:00.000Z</x:v>
      </x:c>
      <x:c r="K68" s="15" t="str">
        <x:v>Checking account</x:v>
      </x:c>
      <x:c r="L68" s="15" t="str">
        <x:v>Funds not received from closed account</x:v>
      </x:c>
      <x:c r="M68" s="15" t="str">
        <x:f>_xlfn.XLOOKUP(C68,'Lookups'!$A$7:$A$8,'Lookups'!$B$7:$B$8,"Unmapped",0)</x:f>
        <x:v>Deposit operations</x:v>
      </x:c>
      <x:c r="N68" s="14" t="n">
        <x:f>DATE(YEAR(B68),MONTH(B68),1)</x:f>
        <x:v>46266</x:v>
      </x:c>
    </x:row>
    <x:row r="69" ht="55" customHeight="1">
      <x:c r="A69" s="13" t="str">
        <x:v>28638536</x:v>
      </x:c>
      <x:c r="B69" s="14" t="d">
        <x:v>2026-09-30T00:00:00.000Z</x:v>
      </x:c>
      <x:c r="C69" s="15" t="str">
        <x:v>Checking or savings account</x:v>
      </x:c>
      <x:c r="D69" s="15" t="str">
        <x:v>Managing an account</x:v>
      </x:c>
      <x:c r="E69" s="15" t="str">
        <x:v>Block, Inc.</x:v>
      </x:c>
      <x:c r="F69" s="15" t="str">
        <x:v>NC</x:v>
      </x:c>
      <x:c r="G69" s="15" t="str">
        <x:v>Yes</x:v>
      </x:c>
      <x:c r="H69" s="15" t="str">
        <x:v>Closed with explanation</x:v>
      </x:c>
      <x:c r="I69" s="15" t="str">
        <x:v>Web</x:v>
      </x:c>
      <x:c r="J69" s="16" t="d">
        <x:v>2026-09-30T00:00:00.000Z</x:v>
      </x:c>
      <x:c r="K69" s="15" t="str">
        <x:v>Checking account</x:v>
      </x:c>
      <x:c r="L69" s="15" t="str">
        <x:v>Problem using a debit or ATM card</x:v>
      </x:c>
      <x:c r="M69" s="15" t="str">
        <x:f>_xlfn.XLOOKUP(C69,'Lookups'!$A$7:$A$8,'Lookups'!$B$7:$B$8,"Unmapped",0)</x:f>
        <x:v>Deposit operations</x:v>
      </x:c>
      <x:c r="N69" s="14" t="n">
        <x:f>DATE(YEAR(B69),MONTH(B69),1)</x:f>
        <x:v>46266</x:v>
      </x:c>
    </x:row>
    <x:row r="70" ht="55" customHeight="1">
      <x:c r="A70" s="13" t="str">
        <x:v>28638772</x:v>
      </x:c>
      <x:c r="B70" s="14" t="d">
        <x:v>2026-09-30T00:00:00.000Z</x:v>
      </x:c>
      <x:c r="C70" s="15" t="str">
        <x:v>Checking or savings account</x:v>
      </x:c>
      <x:c r="D70" s="15" t="str">
        <x:v>Managing an account</x:v>
      </x:c>
      <x:c r="E70" s="15" t="str">
        <x:v>CITIBANK, N.A.</x:v>
      </x:c>
      <x:c r="F70" s="15" t="str">
        <x:v>WI</x:v>
      </x:c>
      <x:c r="G70" s="15" t="str">
        <x:v>Yes</x:v>
      </x:c>
      <x:c r="H70" s="15" t="str">
        <x:v>In progress</x:v>
      </x:c>
      <x:c r="I70" s="15" t="str">
        <x:v>Web</x:v>
      </x:c>
      <x:c r="J70" s="16" t="d">
        <x:v>2026-09-30T00:00:00.000Z</x:v>
      </x:c>
      <x:c r="K70" s="15" t="str">
        <x:v>Savings account</x:v>
      </x:c>
      <x:c r="L70" s="15" t="str">
        <x:v>Banking errors</x:v>
      </x:c>
      <x:c r="M70" s="15" t="str">
        <x:f>_xlfn.XLOOKUP(C70,'Lookups'!$A$7:$A$8,'Lookups'!$B$7:$B$8,"Unmapped",0)</x:f>
        <x:v>Deposit operations</x:v>
      </x:c>
      <x:c r="N70" s="14" t="n">
        <x:f>DATE(YEAR(B70),MONTH(B70),1)</x:f>
        <x:v>46266</x:v>
      </x:c>
    </x:row>
    <x:row r="71" ht="55" customHeight="1">
      <x:c r="A71" s="13" t="str">
        <x:v>28638809</x:v>
      </x:c>
      <x:c r="B71" s="14" t="d">
        <x:v>2026-09-30T00:00:00.000Z</x:v>
      </x:c>
      <x:c r="C71" s="15" t="str">
        <x:v>Credit card</x:v>
      </x:c>
      <x:c r="D71" s="15" t="str">
        <x:v>Struggling to pay your bill</x:v>
      </x:c>
      <x:c r="E71" s="15" t="str">
        <x:v>CITIBANK, N.A.</x:v>
      </x:c>
      <x:c r="F71" s="15" t="str">
        <x:v>TX</x:v>
      </x:c>
      <x:c r="G71" s="15" t="str">
        <x:v>Yes</x:v>
      </x:c>
      <x:c r="H71" s="15" t="str">
        <x:v>Closed with non-monetary relief</x:v>
      </x:c>
      <x:c r="I71" s="15" t="str">
        <x:v>Web</x:v>
      </x:c>
      <x:c r="J71" s="16" t="d">
        <x:v>2026-09-30T00:00:00.000Z</x:v>
      </x:c>
      <x:c r="K71" s="15" t="str">
        <x:v>General-purpose credit card or charge card</x:v>
      </x:c>
      <x:c r="L71" s="15" t="str">
        <x:v>Credit card company won't work with you while you're going through financial hardship</x:v>
      </x:c>
      <x:c r="M71" s="15" t="str">
        <x:f>_xlfn.XLOOKUP(C71,'Lookups'!$A$7:$A$8,'Lookups'!$B$7:$B$8,"Unmapped",0)</x:f>
        <x:v>Card operations</x:v>
      </x:c>
      <x:c r="N71" s="14" t="n">
        <x:f>DATE(YEAR(B71),MONTH(B71),1)</x:f>
        <x:v>46266</x:v>
      </x:c>
    </x:row>
    <x:row r="72" ht="55" customHeight="1">
      <x:c r="A72" s="13" t="str">
        <x:v>28638865</x:v>
      </x:c>
      <x:c r="B72" s="14" t="d">
        <x:v>2026-09-30T00:00:00.000Z</x:v>
      </x:c>
      <x:c r="C72" s="15" t="str">
        <x:v>Credit card</x:v>
      </x:c>
      <x:c r="D72" s="15" t="str">
        <x:v>Fees or interest</x:v>
      </x:c>
      <x:c r="E72" s="15" t="str">
        <x:v>AMERICAN EXPRESS COMPANY</x:v>
      </x:c>
      <x:c r="F72" s="15" t="str">
        <x:v>VA</x:v>
      </x:c>
      <x:c r="G72" s="15" t="str">
        <x:v>Yes</x:v>
      </x:c>
      <x:c r="H72" s="15" t="str">
        <x:v>In progress</x:v>
      </x:c>
      <x:c r="I72" s="15" t="str">
        <x:v>Web</x:v>
      </x:c>
      <x:c r="J72" s="16" t="d">
        <x:v>2026-09-30T00:00:00.000Z</x:v>
      </x:c>
      <x:c r="K72" s="15" t="str">
        <x:v>General-purpose credit card or charge card</x:v>
      </x:c>
      <x:c r="L72" s="15" t="str">
        <x:v>Problem with fees</x:v>
      </x:c>
      <x:c r="M72" s="15" t="str">
        <x:f>_xlfn.XLOOKUP(C72,'Lookups'!$A$7:$A$8,'Lookups'!$B$7:$B$8,"Unmapped",0)</x:f>
        <x:v>Card operations</x:v>
      </x:c>
      <x:c r="N72" s="14" t="n">
        <x:f>DATE(YEAR(B72),MONTH(B72),1)</x:f>
        <x:v>46266</x:v>
      </x:c>
    </x:row>
    <x:row r="73" ht="55" customHeight="1">
      <x:c r="A73" s="13" t="str">
        <x:v>28638978</x:v>
      </x:c>
      <x:c r="B73" s="14" t="d">
        <x:v>2026-09-30T00:00:00.000Z</x:v>
      </x:c>
      <x:c r="C73" s="15" t="str">
        <x:v>Checking or savings account</x:v>
      </x:c>
      <x:c r="D73" s="15" t="str">
        <x:v>Opening an account</x:v>
      </x:c>
      <x:c r="E73" s="15" t="str">
        <x:v>JPMORGAN CHASE &amp; CO.</x:v>
      </x:c>
      <x:c r="F73" s="15" t="str">
        <x:v>NJ</x:v>
      </x:c>
      <x:c r="G73" s="15" t="str">
        <x:v>Yes</x:v>
      </x:c>
      <x:c r="H73" s="15" t="str">
        <x:v>Closed with monetary relief</x:v>
      </x:c>
      <x:c r="I73" s="15" t="str">
        <x:v>Web</x:v>
      </x:c>
      <x:c r="J73" s="16" t="d">
        <x:v>2026-09-30T00:00:00.000Z</x:v>
      </x:c>
      <x:c r="K73" s="15" t="str">
        <x:v>Checking account</x:v>
      </x:c>
      <x:c r="L73" s="15" t="str">
        <x:v>Didn't receive terms that were advertised</x:v>
      </x:c>
      <x:c r="M73" s="15" t="str">
        <x:f>_xlfn.XLOOKUP(C73,'Lookups'!$A$7:$A$8,'Lookups'!$B$7:$B$8,"Unmapped",0)</x:f>
        <x:v>Deposit operations</x:v>
      </x:c>
      <x:c r="N73" s="14" t="n">
        <x:f>DATE(YEAR(B73),MONTH(B73),1)</x:f>
        <x:v>46266</x:v>
      </x:c>
    </x:row>
    <x:row r="74" ht="55" customHeight="1">
      <x:c r="A74" s="13" t="str">
        <x:v>28639010</x:v>
      </x:c>
      <x:c r="B74" s="14" t="d">
        <x:v>2026-09-30T00:00:00.000Z</x:v>
      </x:c>
      <x:c r="C74" s="15" t="str">
        <x:v>Checking or savings account</x:v>
      </x:c>
      <x:c r="D74" s="15" t="str">
        <x:v>Managing an account</x:v>
      </x:c>
      <x:c r="E74" s="15" t="str">
        <x:v>CAPITAL ONE FINANCIAL CORPORATION</x:v>
      </x:c>
      <x:c r="F74" s="15" t="str">
        <x:v>CA</x:v>
      </x:c>
      <x:c r="G74" s="15" t="str">
        <x:v>Yes</x:v>
      </x:c>
      <x:c r="H74" s="15" t="str">
        <x:v>In progress</x:v>
      </x:c>
      <x:c r="I74" s="15" t="str">
        <x:v>Web</x:v>
      </x:c>
      <x:c r="J74" s="16" t="d">
        <x:v>2026-09-30T00:00:00.000Z</x:v>
      </x:c>
      <x:c r="K74" s="15" t="str">
        <x:v>Checking account</x:v>
      </x:c>
      <x:c r="L74" s="15" t="str">
        <x:v>Deposits and withdrawals</x:v>
      </x:c>
      <x:c r="M74" s="15" t="str">
        <x:f>_xlfn.XLOOKUP(C74,'Lookups'!$A$7:$A$8,'Lookups'!$B$7:$B$8,"Unmapped",0)</x:f>
        <x:v>Deposit operations</x:v>
      </x:c>
      <x:c r="N74" s="14" t="n">
        <x:f>DATE(YEAR(B74),MONTH(B74),1)</x:f>
        <x:v>46266</x:v>
      </x:c>
    </x:row>
    <x:row r="75" ht="55" customHeight="1">
      <x:c r="A75" s="13" t="str">
        <x:v>28640047</x:v>
      </x:c>
      <x:c r="B75" s="14" t="d">
        <x:v>2026-09-30T00:00:00.000Z</x:v>
      </x:c>
      <x:c r="C75" s="15" t="str">
        <x:v>Checking or savings account</x:v>
      </x:c>
      <x:c r="D75" s="15" t="str">
        <x:v>Managing an account</x:v>
      </x:c>
      <x:c r="E75" s="15" t="str">
        <x:v>CITIBANK, N.A.</x:v>
      </x:c>
      <x:c r="F75" s="15" t="str">
        <x:v>NJ</x:v>
      </x:c>
      <x:c r="G75" s="15" t="str">
        <x:v>Yes</x:v>
      </x:c>
      <x:c r="H75" s="15" t="str">
        <x:v>Closed with explanation</x:v>
      </x:c>
      <x:c r="I75" s="15" t="str">
        <x:v>Web</x:v>
      </x:c>
      <x:c r="J75" s="16" t="d">
        <x:v>2026-09-30T00:00:00.000Z</x:v>
      </x:c>
      <x:c r="K75" s="15" t="str">
        <x:v>Checking account</x:v>
      </x:c>
      <x:c r="L75" s="15" t="str">
        <x:v>Deposits and withdrawals</x:v>
      </x:c>
      <x:c r="M75" s="15" t="str">
        <x:f>_xlfn.XLOOKUP(C75,'Lookups'!$A$7:$A$8,'Lookups'!$B$7:$B$8,"Unmapped",0)</x:f>
        <x:v>Deposit operations</x:v>
      </x:c>
      <x:c r="N75" s="14" t="n">
        <x:f>DATE(YEAR(B75),MONTH(B75),1)</x:f>
        <x:v>46266</x:v>
      </x:c>
    </x:row>
    <x:row r="76" ht="55" customHeight="1">
      <x:c r="A76" s="13" t="str">
        <x:v>28640114</x:v>
      </x:c>
      <x:c r="B76" s="14" t="d">
        <x:v>2026-09-30T00:00:00.000Z</x:v>
      </x:c>
      <x:c r="C76" s="15" t="str">
        <x:v>Checking or savings account</x:v>
      </x:c>
      <x:c r="D76" s="15" t="str">
        <x:v>Closing an account</x:v>
      </x:c>
      <x:c r="E76" s="15" t="str">
        <x:v>U.S. BANCORP</x:v>
      </x:c>
      <x:c r="F76" s="15" t="str">
        <x:v>AZ</x:v>
      </x:c>
      <x:c r="G76" s="15" t="str">
        <x:v>Yes</x:v>
      </x:c>
      <x:c r="H76" s="15" t="str">
        <x:v>Closed with explanation</x:v>
      </x:c>
      <x:c r="I76" s="15" t="str">
        <x:v>Web</x:v>
      </x:c>
      <x:c r="J76" s="16" t="d">
        <x:v>2026-09-30T00:00:00.000Z</x:v>
      </x:c>
      <x:c r="K76" s="15" t="str">
        <x:v>Checking account</x:v>
      </x:c>
      <x:c r="L76" s="15" t="str">
        <x:v>Funds not received from closed account</x:v>
      </x:c>
      <x:c r="M76" s="15" t="str">
        <x:f>_xlfn.XLOOKUP(C76,'Lookups'!$A$7:$A$8,'Lookups'!$B$7:$B$8,"Unmapped",0)</x:f>
        <x:v>Deposit operations</x:v>
      </x:c>
      <x:c r="N76" s="14" t="n">
        <x:f>DATE(YEAR(B76),MONTH(B76),1)</x:f>
        <x:v>46266</x:v>
      </x:c>
    </x:row>
    <x:row r="77" ht="55" customHeight="1">
      <x:c r="A77" s="13" t="str">
        <x:v>28640186</x:v>
      </x:c>
      <x:c r="B77" s="14" t="d">
        <x:v>2026-09-30T00:00:00.000Z</x:v>
      </x:c>
      <x:c r="C77" s="15" t="str">
        <x:v>Credit card</x:v>
      </x:c>
      <x:c r="D77" s="15" t="str">
        <x:v>Struggling to pay your bill</x:v>
      </x:c>
      <x:c r="E77" s="15" t="str">
        <x:v>BANK OF AMERICA, NATIONAL ASSOCIATION</x:v>
      </x:c>
      <x:c r="F77" s="15" t="str">
        <x:v>TX</x:v>
      </x:c>
      <x:c r="G77" s="15" t="str">
        <x:v>Yes</x:v>
      </x:c>
      <x:c r="H77" s="15" t="str">
        <x:v>In progress</x:v>
      </x:c>
      <x:c r="I77" s="15" t="str">
        <x:v>Web</x:v>
      </x:c>
      <x:c r="J77" s="16" t="d">
        <x:v>2026-09-30T00:00:00.000Z</x:v>
      </x:c>
      <x:c r="K77" s="15" t="str">
        <x:v>General-purpose credit card or charge card</x:v>
      </x:c>
      <x:c r="L77" s="15" t="str">
        <x:v>Credit card company won't work with you while you're going through financial hardship</x:v>
      </x:c>
      <x:c r="M77" s="15" t="str">
        <x:f>_xlfn.XLOOKUP(C77,'Lookups'!$A$7:$A$8,'Lookups'!$B$7:$B$8,"Unmapped",0)</x:f>
        <x:v>Card operations</x:v>
      </x:c>
      <x:c r="N77" s="14" t="n">
        <x:f>DATE(YEAR(B77),MONTH(B77),1)</x:f>
        <x:v>46266</x:v>
      </x:c>
    </x:row>
    <x:row r="78" ht="55" customHeight="1">
      <x:c r="A78" s="13" t="str">
        <x:v>28640198</x:v>
      </x:c>
      <x:c r="B78" s="14" t="d">
        <x:v>2026-09-30T00:00:00.000Z</x:v>
      </x:c>
      <x:c r="C78" s="15" t="str">
        <x:v>Credit card</x:v>
      </x:c>
      <x:c r="D78" s="15" t="str">
        <x:v>Problem with a purchase shown on your statement</x:v>
      </x:c>
      <x:c r="E78" s="15" t="str">
        <x:v>CITIBANK, N.A.</x:v>
      </x:c>
      <x:c r="F78" s="15" t="str">
        <x:v>TX</x:v>
      </x:c>
      <x:c r="G78" s="15" t="str">
        <x:v>Yes</x:v>
      </x:c>
      <x:c r="H78" s="15" t="str">
        <x:v>Closed with monetary relief</x:v>
      </x:c>
      <x:c r="I78" s="15" t="str">
        <x:v>Web</x:v>
      </x:c>
      <x:c r="J78" s="16" t="d">
        <x:v>2026-09-30T00:00:00.000Z</x:v>
      </x:c>
      <x:c r="K78" s="15" t="str">
        <x:v>Store credit card</x:v>
      </x:c>
      <x:c r="L78" s="15" t="str">
        <x:v>Credit card company isn't resolving a dispute about a purchase on your statement</x:v>
      </x:c>
      <x:c r="M78" s="15" t="str">
        <x:f>_xlfn.XLOOKUP(C78,'Lookups'!$A$7:$A$8,'Lookups'!$B$7:$B$8,"Unmapped",0)</x:f>
        <x:v>Card operations</x:v>
      </x:c>
      <x:c r="N78" s="14" t="n">
        <x:f>DATE(YEAR(B78),MONTH(B78),1)</x:f>
        <x:v>46266</x:v>
      </x:c>
    </x:row>
    <x:row r="79" ht="55" customHeight="1">
      <x:c r="A79" s="13" t="str">
        <x:v>28640367</x:v>
      </x:c>
      <x:c r="B79" s="14" t="d">
        <x:v>2026-09-30T00:00:00.000Z</x:v>
      </x:c>
      <x:c r="C79" s="15" t="str">
        <x:v>Checking or savings account</x:v>
      </x:c>
      <x:c r="D79" s="15" t="str">
        <x:v>Problem caused by your funds being low</x:v>
      </x:c>
      <x:c r="E79" s="15" t="str">
        <x:v>BANK OF AMERICA, NATIONAL ASSOCIATION</x:v>
      </x:c>
      <x:c r="F79" s="15" t="str">
        <x:v>FL</x:v>
      </x:c>
      <x:c r="G79" s="15" t="str">
        <x:v>Yes</x:v>
      </x:c>
      <x:c r="H79" s="15" t="str">
        <x:v>Closed with explanation</x:v>
      </x:c>
      <x:c r="I79" s="15" t="str">
        <x:v>Web</x:v>
      </x:c>
      <x:c r="J79" s="16" t="d">
        <x:v>2026-09-30T00:00:00.000Z</x:v>
      </x:c>
      <x:c r="K79" s="15" t="str">
        <x:v>Checking account</x:v>
      </x:c>
      <x:c r="L79" s="15" t="str">
        <x:v>Overdrafts and overdraft fees</x:v>
      </x:c>
      <x:c r="M79" s="15" t="str">
        <x:f>_xlfn.XLOOKUP(C79,'Lookups'!$A$7:$A$8,'Lookups'!$B$7:$B$8,"Unmapped",0)</x:f>
        <x:v>Deposit operations</x:v>
      </x:c>
      <x:c r="N79" s="14" t="n">
        <x:f>DATE(YEAR(B79),MONTH(B79),1)</x:f>
        <x:v>46266</x:v>
      </x:c>
    </x:row>
    <x:row r="80" ht="55" customHeight="1">
      <x:c r="A80" s="13" t="str">
        <x:v>28640836</x:v>
      </x:c>
      <x:c r="B80" s="14" t="d">
        <x:v>2026-09-30T00:00:00.000Z</x:v>
      </x:c>
      <x:c r="C80" s="15" t="str">
        <x:v>Credit card</x:v>
      </x:c>
      <x:c r="D80" s="15" t="str">
        <x:v>Trouble using your card</x:v>
      </x:c>
      <x:c r="E80" s="15" t="str">
        <x:v>SYNCHRONY FINANCIAL</x:v>
      </x:c>
      <x:c r="F80" s="15" t="str">
        <x:v>SD</x:v>
      </x:c>
      <x:c r="G80" s="15" t="str">
        <x:v>Yes</x:v>
      </x:c>
      <x:c r="H80" s="15" t="str">
        <x:v>In progress</x:v>
      </x:c>
      <x:c r="I80" s="15" t="str">
        <x:v>Web</x:v>
      </x:c>
      <x:c r="J80" s="16" t="d">
        <x:v>2026-09-30T00:00:00.000Z</x:v>
      </x:c>
      <x:c r="K80" s="15" t="str">
        <x:v>General-purpose credit card or charge card</x:v>
      </x:c>
      <x:c r="L80" s="15" t="str">
        <x:v>Can't use card to make purchases</x:v>
      </x:c>
      <x:c r="M80" s="15" t="str">
        <x:f>_xlfn.XLOOKUP(C80,'Lookups'!$A$7:$A$8,'Lookups'!$B$7:$B$8,"Unmapped",0)</x:f>
        <x:v>Card operations</x:v>
      </x:c>
      <x:c r="N80" s="14" t="n">
        <x:f>DATE(YEAR(B80),MONTH(B80),1)</x:f>
        <x:v>46266</x:v>
      </x:c>
    </x:row>
    <x:row r="81" ht="55" customHeight="1">
      <x:c r="A81" s="13" t="str">
        <x:v>28640864</x:v>
      </x:c>
      <x:c r="B81" s="14" t="d">
        <x:v>2026-09-30T00:00:00.000Z</x:v>
      </x:c>
      <x:c r="C81" s="15" t="str">
        <x:v>Checking or savings account</x:v>
      </x:c>
      <x:c r="D81" s="15" t="str">
        <x:v>Problem with a lender or other company charging your account</x:v>
      </x:c>
      <x:c r="E81" s="15" t="str">
        <x:v>Block, Inc.</x:v>
      </x:c>
      <x:c r="F81" s="15" t="str">
        <x:v>NC</x:v>
      </x:c>
      <x:c r="G81" s="15" t="str">
        <x:v>Yes</x:v>
      </x:c>
      <x:c r="H81" s="15" t="str">
        <x:v>Closed with explanation</x:v>
      </x:c>
      <x:c r="I81" s="15" t="str">
        <x:v>Web</x:v>
      </x:c>
      <x:c r="J81" s="16" t="d">
        <x:v>2026-09-30T00:00:00.000Z</x:v>
      </x:c>
      <x:c r="K81" s="15" t="str">
        <x:v>Other banking product or service</x:v>
      </x:c>
      <x:c r="L81" s="15" t="str">
        <x:v>Transaction was not authorized</x:v>
      </x:c>
      <x:c r="M81" s="15" t="str">
        <x:f>_xlfn.XLOOKUP(C81,'Lookups'!$A$7:$A$8,'Lookups'!$B$7:$B$8,"Unmapped",0)</x:f>
        <x:v>Deposit operations</x:v>
      </x:c>
      <x:c r="N81" s="14" t="n">
        <x:f>DATE(YEAR(B81),MONTH(B81),1)</x:f>
        <x:v>46266</x:v>
      </x:c>
    </x:row>
    <x:row r="82" ht="55" customHeight="1">
      <x:c r="A82" s="13" t="str">
        <x:v>28641215</x:v>
      </x:c>
      <x:c r="B82" s="14" t="d">
        <x:v>2026-09-30T00:00:00.000Z</x:v>
      </x:c>
      <x:c r="C82" s="15" t="str">
        <x:v>Credit card</x:v>
      </x:c>
      <x:c r="D82" s="15" t="str">
        <x:v>Problem with a purchase shown on your statement</x:v>
      </x:c>
      <x:c r="E82" s="15" t="str">
        <x:v>U.S. BANCORP</x:v>
      </x:c>
      <x:c r="F82" s="15" t="str">
        <x:v>CA</x:v>
      </x:c>
      <x:c r="G82" s="15" t="str">
        <x:v>Yes</x:v>
      </x:c>
      <x:c r="H82" s="15" t="str">
        <x:v>Closed with explanation</x:v>
      </x:c>
      <x:c r="I82" s="15" t="str">
        <x:v>Web</x:v>
      </x:c>
      <x:c r="J82" s="16" t="d">
        <x:v>2026-09-30T00:00:00.000Z</x:v>
      </x:c>
      <x:c r="K82" s="15" t="str">
        <x:v>General-purpose credit card or charge card</x:v>
      </x:c>
      <x:c r="L82" s="15" t="str">
        <x:v>Credit card company isn't resolving a dispute about a purchase on your statement</x:v>
      </x:c>
      <x:c r="M82" s="15" t="str">
        <x:f>_xlfn.XLOOKUP(C82,'Lookups'!$A$7:$A$8,'Lookups'!$B$7:$B$8,"Unmapped",0)</x:f>
        <x:v>Card operations</x:v>
      </x:c>
      <x:c r="N82" s="14" t="n">
        <x:f>DATE(YEAR(B82),MONTH(B82),1)</x:f>
        <x:v>46266</x:v>
      </x:c>
    </x:row>
    <x:row r="83" ht="55" customHeight="1">
      <x:c r="A83" s="13" t="str">
        <x:v>28641849</x:v>
      </x:c>
      <x:c r="B83" s="14" t="d">
        <x:v>2026-09-30T00:00:00.000Z</x:v>
      </x:c>
      <x:c r="C83" s="15" t="str">
        <x:v>Checking or savings account</x:v>
      </x:c>
      <x:c r="D83" s="15" t="str">
        <x:v>Managing an account</x:v>
      </x:c>
      <x:c r="E83" s="15" t="str">
        <x:v>ALLY FINANCIAL INC.</x:v>
      </x:c>
      <x:c r="F83" s="15" t="str">
        <x:v>WY</x:v>
      </x:c>
      <x:c r="G83" s="15" t="str">
        <x:v>Yes</x:v>
      </x:c>
      <x:c r="H83" s="15" t="str">
        <x:v>In progress</x:v>
      </x:c>
      <x:c r="I83" s="15" t="str">
        <x:v>Web</x:v>
      </x:c>
      <x:c r="J83" s="16" t="d">
        <x:v>2026-09-30T00:00:00.000Z</x:v>
      </x:c>
      <x:c r="K83" s="15" t="str">
        <x:v>Checking account</x:v>
      </x:c>
      <x:c r="L83" s="15" t="str">
        <x:v>Funds not handled or disbursed as instructed</x:v>
      </x:c>
      <x:c r="M83" s="15" t="str">
        <x:f>_xlfn.XLOOKUP(C83,'Lookups'!$A$7:$A$8,'Lookups'!$B$7:$B$8,"Unmapped",0)</x:f>
        <x:v>Deposit operations</x:v>
      </x:c>
      <x:c r="N83" s="14" t="n">
        <x:f>DATE(YEAR(B83),MONTH(B83),1)</x:f>
        <x:v>46266</x:v>
      </x:c>
    </x:row>
    <x:row r="84" ht="55" customHeight="1">
      <x:c r="A84" s="13" t="str">
        <x:v>28641925</x:v>
      </x:c>
      <x:c r="B84" s="14" t="d">
        <x:v>2026-09-30T00:00:00.000Z</x:v>
      </x:c>
      <x:c r="C84" s="15" t="str">
        <x:v>Checking or savings account</x:v>
      </x:c>
      <x:c r="D84" s="15" t="str">
        <x:v>Managing an account</x:v>
      </x:c>
      <x:c r="E84" s="15" t="str">
        <x:v>CAPITAL ONE FINANCIAL CORPORATION</x:v>
      </x:c>
      <x:c r="F84" s="15" t="str">
        <x:v>CA</x:v>
      </x:c>
      <x:c r="G84" s="15" t="str">
        <x:v>Yes</x:v>
      </x:c>
      <x:c r="H84" s="15" t="str">
        <x:v>Closed with explanation</x:v>
      </x:c>
      <x:c r="I84" s="15" t="str">
        <x:v>Web</x:v>
      </x:c>
      <x:c r="J84" s="16" t="d">
        <x:v>2026-09-30T00:00:00.000Z</x:v>
      </x:c>
      <x:c r="K84" s="15" t="str">
        <x:v>Checking account</x:v>
      </x:c>
      <x:c r="L84" s="15" t="str">
        <x:v>Problem using a debit or ATM card</x:v>
      </x:c>
      <x:c r="M84" s="15" t="str">
        <x:f>_xlfn.XLOOKUP(C84,'Lookups'!$A$7:$A$8,'Lookups'!$B$7:$B$8,"Unmapped",0)</x:f>
        <x:v>Deposit operations</x:v>
      </x:c>
      <x:c r="N84" s="14" t="n">
        <x:f>DATE(YEAR(B84),MONTH(B84),1)</x:f>
        <x:v>46266</x:v>
      </x:c>
    </x:row>
    <x:row r="85" ht="55" customHeight="1">
      <x:c r="A85" s="13" t="str">
        <x:v>28641928</x:v>
      </x:c>
      <x:c r="B85" s="14" t="d">
        <x:v>2026-09-30T00:00:00.000Z</x:v>
      </x:c>
      <x:c r="C85" s="15" t="str">
        <x:v>Credit card</x:v>
      </x:c>
      <x:c r="D85" s="15" t="str">
        <x:v>Incorrect information on your report</x:v>
      </x:c>
      <x:c r="E85" s="15" t="str">
        <x:v>CITIBANK, N.A.</x:v>
      </x:c>
      <x:c r="F85" s="15" t="str">
        <x:v>TX</x:v>
      </x:c>
      <x:c r="G85" s="15" t="str">
        <x:v>Yes</x:v>
      </x:c>
      <x:c r="H85" s="15" t="str">
        <x:v>Closed with non-monetary relief</x:v>
      </x:c>
      <x:c r="I85" s="15" t="str">
        <x:v>Web</x:v>
      </x:c>
      <x:c r="J85" s="16" t="d">
        <x:v>2026-09-30T00:00:00.000Z</x:v>
      </x:c>
      <x:c r="K85" s="15" t="str">
        <x:v>Store credit card</x:v>
      </x:c>
      <x:c r="L85" s="15" t="str">
        <x:v>Account status incorrect</x:v>
      </x:c>
      <x:c r="M85" s="15" t="str">
        <x:f>_xlfn.XLOOKUP(C85,'Lookups'!$A$7:$A$8,'Lookups'!$B$7:$B$8,"Unmapped",0)</x:f>
        <x:v>Card operations</x:v>
      </x:c>
      <x:c r="N85" s="14" t="n">
        <x:f>DATE(YEAR(B85),MONTH(B85),1)</x:f>
        <x:v>46266</x:v>
      </x:c>
    </x:row>
    <x:row r="86" ht="55" customHeight="1">
      <x:c r="A86" s="13" t="str">
        <x:v>28642063</x:v>
      </x:c>
      <x:c r="B86" s="14" t="d">
        <x:v>2026-09-30T00:00:00.000Z</x:v>
      </x:c>
      <x:c r="C86" s="15" t="str">
        <x:v>Checking or savings account</x:v>
      </x:c>
      <x:c r="D86" s="15" t="str">
        <x:v>Managing an account</x:v>
      </x:c>
      <x:c r="E86" s="15" t="str">
        <x:v>SANTANDER HOLDINGS USA, INC.</x:v>
      </x:c>
      <x:c r="F86" s="15" t="str">
        <x:v>MA</x:v>
      </x:c>
      <x:c r="G86" s="15" t="str">
        <x:v>Yes</x:v>
      </x:c>
      <x:c r="H86" s="15" t="str">
        <x:v>In progress</x:v>
      </x:c>
      <x:c r="I86" s="15" t="str">
        <x:v>Web</x:v>
      </x:c>
      <x:c r="J86" s="16" t="d">
        <x:v>2026-09-30T00:00:00.000Z</x:v>
      </x:c>
      <x:c r="K86" s="15" t="str">
        <x:v>Checking account</x:v>
      </x:c>
      <x:c r="L86" s="15" t="str">
        <x:v>Funds not handled or disbursed as instructed</x:v>
      </x:c>
      <x:c r="M86" s="15" t="str">
        <x:f>_xlfn.XLOOKUP(C86,'Lookups'!$A$7:$A$8,'Lookups'!$B$7:$B$8,"Unmapped",0)</x:f>
        <x:v>Deposit operations</x:v>
      </x:c>
      <x:c r="N86" s="14" t="n">
        <x:f>DATE(YEAR(B86),MONTH(B86),1)</x:f>
        <x:v>46266</x:v>
      </x:c>
    </x:row>
    <x:row r="87" ht="55" customHeight="1">
      <x:c r="A87" s="13" t="str">
        <x:v>28642161</x:v>
      </x:c>
      <x:c r="B87" s="14" t="d">
        <x:v>2026-09-30T00:00:00.000Z</x:v>
      </x:c>
      <x:c r="C87" s="15" t="str">
        <x:v>Credit card</x:v>
      </x:c>
      <x:c r="D87" s="15" t="str">
        <x:v>Trouble using your card</x:v>
      </x:c>
      <x:c r="E87" s="15" t="str">
        <x:v>JPMORGAN CHASE &amp; CO.</x:v>
      </x:c>
      <x:c r="F87" s="15" t="str">
        <x:v>MO</x:v>
      </x:c>
      <x:c r="G87" s="15" t="str">
        <x:v>Yes</x:v>
      </x:c>
      <x:c r="H87" s="15" t="str">
        <x:v>Closed with monetary relief</x:v>
      </x:c>
      <x:c r="I87" s="15" t="str">
        <x:v>Web</x:v>
      </x:c>
      <x:c r="J87" s="16" t="d">
        <x:v>2026-09-30T00:00:00.000Z</x:v>
      </x:c>
      <x:c r="K87" s="15" t="str">
        <x:v>General-purpose credit card or charge card</x:v>
      </x:c>
      <x:c r="L87" s="15" t="str">
        <x:v>Credit card company won't increase or decrease your credit limit</x:v>
      </x:c>
      <x:c r="M87" s="15" t="str">
        <x:f>_xlfn.XLOOKUP(C87,'Lookups'!$A$7:$A$8,'Lookups'!$B$7:$B$8,"Unmapped",0)</x:f>
        <x:v>Card operations</x:v>
      </x:c>
      <x:c r="N87" s="14" t="n">
        <x:f>DATE(YEAR(B87),MONTH(B87),1)</x:f>
        <x:v>46266</x:v>
      </x:c>
    </x:row>
    <x:row r="88" ht="55" customHeight="1">
      <x:c r="A88" s="13" t="str">
        <x:v>28642163</x:v>
      </x:c>
      <x:c r="B88" s="14" t="d">
        <x:v>2026-09-30T00:00:00.000Z</x:v>
      </x:c>
      <x:c r="C88" s="15" t="str">
        <x:v>Checking or savings account</x:v>
      </x:c>
      <x:c r="D88" s="15" t="str">
        <x:v>Managing an account</x:v>
      </x:c>
      <x:c r="E88" s="15" t="str">
        <x:v>HUNTINGTON NATIONAL BANK, THE</x:v>
      </x:c>
      <x:c r="F88" s="15" t="str">
        <x:v>MI</x:v>
      </x:c>
      <x:c r="G88" s="15" t="str">
        <x:v>Yes</x:v>
      </x:c>
      <x:c r="H88" s="15" t="str">
        <x:v>In progress</x:v>
      </x:c>
      <x:c r="I88" s="15" t="str">
        <x:v>Web</x:v>
      </x:c>
      <x:c r="J88" s="16" t="d">
        <x:v>2026-09-30T00:00:00.000Z</x:v>
      </x:c>
      <x:c r="K88" s="15" t="str">
        <x:v>Checking account</x:v>
      </x:c>
      <x:c r="L88" s="15" t="str">
        <x:v>Problem making or receiving payments</x:v>
      </x:c>
      <x:c r="M88" s="15" t="str">
        <x:f>_xlfn.XLOOKUP(C88,'Lookups'!$A$7:$A$8,'Lookups'!$B$7:$B$8,"Unmapped",0)</x:f>
        <x:v>Deposit operations</x:v>
      </x:c>
      <x:c r="N88" s="14" t="n">
        <x:f>DATE(YEAR(B88),MONTH(B88),1)</x:f>
        <x:v>46266</x:v>
      </x:c>
    </x:row>
    <x:row r="89" ht="55" customHeight="1">
      <x:c r="A89" s="13" t="str">
        <x:v>28642339</x:v>
      </x:c>
      <x:c r="B89" s="14" t="d">
        <x:v>2026-09-30T00:00:00.000Z</x:v>
      </x:c>
      <x:c r="C89" s="15" t="str">
        <x:v>Checking or savings account</x:v>
      </x:c>
      <x:c r="D89" s="15" t="str">
        <x:v>Managing an account</x:v>
      </x:c>
      <x:c r="E89" s="15" t="str">
        <x:v>JPMORGAN CHASE &amp; CO.</x:v>
      </x:c>
      <x:c r="F89" s="15" t="str">
        <x:v>NC</x:v>
      </x:c>
      <x:c r="G89" s="15" t="str">
        <x:v>Yes</x:v>
      </x:c>
      <x:c r="H89" s="15" t="str">
        <x:v>Closed with monetary relief</x:v>
      </x:c>
      <x:c r="I89" s="15" t="str">
        <x:v>Web</x:v>
      </x:c>
      <x:c r="J89" s="16" t="d">
        <x:v>2026-09-30T00:00:00.000Z</x:v>
      </x:c>
      <x:c r="K89" s="15" t="str">
        <x:v>Savings account</x:v>
      </x:c>
      <x:c r="L89" s="15" t="str">
        <x:v>Deposits and withdrawals</x:v>
      </x:c>
      <x:c r="M89" s="15" t="str">
        <x:f>_xlfn.XLOOKUP(C89,'Lookups'!$A$7:$A$8,'Lookups'!$B$7:$B$8,"Unmapped",0)</x:f>
        <x:v>Deposit operations</x:v>
      </x:c>
      <x:c r="N89" s="14" t="n">
        <x:f>DATE(YEAR(B89),MONTH(B89),1)</x:f>
        <x:v>46266</x:v>
      </x:c>
    </x:row>
    <x:row r="90" ht="55" customHeight="1">
      <x:c r="A90" s="13" t="str">
        <x:v>28642410</x:v>
      </x:c>
      <x:c r="B90" s="14" t="d">
        <x:v>2026-09-30T00:00:00.000Z</x:v>
      </x:c>
      <x:c r="C90" s="15" t="str">
        <x:v>Credit card</x:v>
      </x:c>
      <x:c r="D90" s="15" t="str">
        <x:v>Other features, terms, or problems</x:v>
      </x:c>
      <x:c r="E90" s="15" t="str">
        <x:v>AMERICAN EXPRESS COMPANY</x:v>
      </x:c>
      <x:c r="F90" s="15" t="str">
        <x:v>NY</x:v>
      </x:c>
      <x:c r="G90" s="15" t="str">
        <x:v>Yes</x:v>
      </x:c>
      <x:c r="H90" s="15" t="str">
        <x:v>Closed with explanation</x:v>
      </x:c>
      <x:c r="I90" s="15" t="str">
        <x:v>Web</x:v>
      </x:c>
      <x:c r="J90" s="16" t="d">
        <x:v>2026-09-30T00:00:00.000Z</x:v>
      </x:c>
      <x:c r="K90" s="15" t="str">
        <x:v>General-purpose credit card or charge card</x:v>
      </x:c>
      <x:c r="L90" s="15" t="str">
        <x:v>Problem with rewards from credit card</x:v>
      </x:c>
      <x:c r="M90" s="15" t="str">
        <x:f>_xlfn.XLOOKUP(C90,'Lookups'!$A$7:$A$8,'Lookups'!$B$7:$B$8,"Unmapped",0)</x:f>
        <x:v>Card operations</x:v>
      </x:c>
      <x:c r="N90" s="14" t="n">
        <x:f>DATE(YEAR(B90),MONTH(B90),1)</x:f>
        <x:v>46266</x:v>
      </x:c>
    </x:row>
    <x:row r="91" ht="55" customHeight="1">
      <x:c r="A91" s="13" t="str">
        <x:v>28642415</x:v>
      </x:c>
      <x:c r="B91" s="14" t="d">
        <x:v>2026-09-30T00:00:00.000Z</x:v>
      </x:c>
      <x:c r="C91" s="15" t="str">
        <x:v>Credit card</x:v>
      </x:c>
      <x:c r="D91" s="15" t="str">
        <x:v>Problem with a purchase shown on your statement</x:v>
      </x:c>
      <x:c r="E91" s="15" t="str">
        <x:v>WELLS FARGO &amp; COMPANY</x:v>
      </x:c>
      <x:c r="F91" s="15" t="str">
        <x:v>CA</x:v>
      </x:c>
      <x:c r="G91" s="15" t="str">
        <x:v>Yes</x:v>
      </x:c>
      <x:c r="H91" s="15" t="str">
        <x:v>In progress</x:v>
      </x:c>
      <x:c r="I91" s="15" t="str">
        <x:v>Web</x:v>
      </x:c>
      <x:c r="J91" s="16" t="d">
        <x:v>2026-09-30T00:00:00.000Z</x:v>
      </x:c>
      <x:c r="K91" s="15" t="str">
        <x:v>General-purpose credit card or charge card</x:v>
      </x:c>
      <x:c r="L91" s="15" t="str">
        <x:v>Credit card company isn't resolving a dispute about a purchase on your statement</x:v>
      </x:c>
      <x:c r="M91" s="15" t="str">
        <x:f>_xlfn.XLOOKUP(C91,'Lookups'!$A$7:$A$8,'Lookups'!$B$7:$B$8,"Unmapped",0)</x:f>
        <x:v>Card operations</x:v>
      </x:c>
      <x:c r="N91" s="14" t="n">
        <x:f>DATE(YEAR(B91),MONTH(B91),1)</x:f>
        <x:v>46266</x:v>
      </x:c>
    </x:row>
    <x:row r="92" ht="55" customHeight="1">
      <x:c r="A92" s="13" t="str">
        <x:v>28643612</x:v>
      </x:c>
      <x:c r="B92" s="14" t="d">
        <x:v>2026-09-30T00:00:00.000Z</x:v>
      </x:c>
      <x:c r="C92" s="15" t="str">
        <x:v>Credit card</x:v>
      </x:c>
      <x:c r="D92" s="15" t="str">
        <x:v>Fees or interest</x:v>
      </x:c>
      <x:c r="E92" s="15" t="str">
        <x:v>SYNCHRONY FINANCIAL</x:v>
      </x:c>
      <x:c r="F92" s="15" t="str">
        <x:v>CA</x:v>
      </x:c>
      <x:c r="G92" s="15" t="str">
        <x:v>Yes</x:v>
      </x:c>
      <x:c r="H92" s="15" t="str">
        <x:v>In progress</x:v>
      </x:c>
      <x:c r="I92" s="15" t="str">
        <x:v>Web</x:v>
      </x:c>
      <x:c r="J92" s="16" t="d">
        <x:v>2026-09-30T00:00:00.000Z</x:v>
      </x:c>
      <x:c r="K92" s="15" t="str">
        <x:v>General-purpose credit card or charge card</x:v>
      </x:c>
      <x:c r="L92" s="15" t="str">
        <x:v>Charged too much interest</x:v>
      </x:c>
      <x:c r="M92" s="15" t="str">
        <x:f>_xlfn.XLOOKUP(C92,'Lookups'!$A$7:$A$8,'Lookups'!$B$7:$B$8,"Unmapped",0)</x:f>
        <x:v>Card operations</x:v>
      </x:c>
      <x:c r="N92" s="14" t="n">
        <x:f>DATE(YEAR(B92),MONTH(B92),1)</x:f>
        <x:v>46266</x:v>
      </x:c>
    </x:row>
    <x:row r="93" ht="55" customHeight="1">
      <x:c r="A93" s="13" t="str">
        <x:v>28643634</x:v>
      </x:c>
      <x:c r="B93" s="14" t="d">
        <x:v>2026-09-30T00:00:00.000Z</x:v>
      </x:c>
      <x:c r="C93" s="15" t="str">
        <x:v>Checking or savings account</x:v>
      </x:c>
      <x:c r="D93" s="15" t="str">
        <x:v>Managing an account</x:v>
      </x:c>
      <x:c r="E93" s="15" t="str">
        <x:v>BMO BANK NATIONAL ASSOCIATION</x:v>
      </x:c>
      <x:c r="F93" s="15" t="str">
        <x:v>NM</x:v>
      </x:c>
      <x:c r="G93" s="15" t="str">
        <x:v>Yes</x:v>
      </x:c>
      <x:c r="H93" s="15" t="str">
        <x:v>Closed with explanation</x:v>
      </x:c>
      <x:c r="I93" s="15" t="str">
        <x:v>Web</x:v>
      </x:c>
      <x:c r="J93" s="16" t="d">
        <x:v>2026-09-30T00:00:00.000Z</x:v>
      </x:c>
      <x:c r="K93" s="15" t="str">
        <x:v>Checking account</x:v>
      </x:c>
      <x:c r="L93" s="15" t="str">
        <x:v>Problem making or receiving payments</x:v>
      </x:c>
      <x:c r="M93" s="15" t="str">
        <x:f>_xlfn.XLOOKUP(C93,'Lookups'!$A$7:$A$8,'Lookups'!$B$7:$B$8,"Unmapped",0)</x:f>
        <x:v>Deposit operations</x:v>
      </x:c>
      <x:c r="N93" s="14" t="n">
        <x:f>DATE(YEAR(B93),MONTH(B93),1)</x:f>
        <x:v>46266</x:v>
      </x:c>
    </x:row>
    <x:row r="94" ht="55" customHeight="1">
      <x:c r="A94" s="13" t="str">
        <x:v>28643654</x:v>
      </x:c>
      <x:c r="B94" s="14" t="d">
        <x:v>2026-09-30T00:00:00.000Z</x:v>
      </x:c>
      <x:c r="C94" s="15" t="str">
        <x:v>Credit card</x:v>
      </x:c>
      <x:c r="D94" s="15" t="str">
        <x:v>Other features, terms, or problems</x:v>
      </x:c>
      <x:c r="E94" s="15" t="str">
        <x:v>BANK OF AMERICA, NATIONAL ASSOCIATION</x:v>
      </x:c>
      <x:c r="F94" s="15" t="str">
        <x:v>CA</x:v>
      </x:c>
      <x:c r="G94" s="15" t="str">
        <x:v>Yes</x:v>
      </x:c>
      <x:c r="H94" s="15" t="str">
        <x:v>Closed with non-monetary relief</x:v>
      </x:c>
      <x:c r="I94" s="15" t="str">
        <x:v>Web</x:v>
      </x:c>
      <x:c r="J94" s="16" t="d">
        <x:v>2026-09-30T00:00:00.000Z</x:v>
      </x:c>
      <x:c r="K94" s="15" t="str">
        <x:v>General-purpose credit card or charge card</x:v>
      </x:c>
      <x:c r="L94" s="15" t="str">
        <x:v>Problem with customer service</x:v>
      </x:c>
      <x:c r="M94" s="15" t="str">
        <x:f>_xlfn.XLOOKUP(C94,'Lookups'!$A$7:$A$8,'Lookups'!$B$7:$B$8,"Unmapped",0)</x:f>
        <x:v>Card operations</x:v>
      </x:c>
      <x:c r="N94" s="14" t="n">
        <x:f>DATE(YEAR(B94),MONTH(B94),1)</x:f>
        <x:v>46266</x:v>
      </x:c>
    </x:row>
    <x:row r="95" ht="55" customHeight="1">
      <x:c r="A95" s="13" t="str">
        <x:v>28643796</x:v>
      </x:c>
      <x:c r="B95" s="14" t="d">
        <x:v>2026-09-30T00:00:00.000Z</x:v>
      </x:c>
      <x:c r="C95" s="15" t="str">
        <x:v>Credit card</x:v>
      </x:c>
      <x:c r="D95" s="15" t="str">
        <x:v>Problem with a purchase shown on your statement</x:v>
      </x:c>
      <x:c r="E95" s="15" t="str">
        <x:v>CITIBANK, N.A.</x:v>
      </x:c>
      <x:c r="F95" s="15" t="str">
        <x:v>TX</x:v>
      </x:c>
      <x:c r="G95" s="15" t="str">
        <x:v>Yes</x:v>
      </x:c>
      <x:c r="H95" s="15" t="str">
        <x:v>Closed with explanation</x:v>
      </x:c>
      <x:c r="I95" s="15" t="str">
        <x:v>Web</x:v>
      </x:c>
      <x:c r="J95" s="16" t="d">
        <x:v>2026-09-30T00:00:00.000Z</x:v>
      </x:c>
      <x:c r="K95" s="15" t="str">
        <x:v>General-purpose credit card or charge card</x:v>
      </x:c>
      <x:c r="L95" s="15" t="str">
        <x:v>Credit card company isn't resolving a dispute about a purchase on your statement</x:v>
      </x:c>
      <x:c r="M95" s="15" t="str">
        <x:f>_xlfn.XLOOKUP(C95,'Lookups'!$A$7:$A$8,'Lookups'!$B$7:$B$8,"Unmapped",0)</x:f>
        <x:v>Card operations</x:v>
      </x:c>
      <x:c r="N95" s="14" t="n">
        <x:f>DATE(YEAR(B95),MONTH(B95),1)</x:f>
        <x:v>46266</x:v>
      </x:c>
    </x:row>
    <x:row r="96" ht="55" customHeight="1">
      <x:c r="A96" s="13" t="str">
        <x:v>28643825</x:v>
      </x:c>
      <x:c r="B96" s="14" t="d">
        <x:v>2026-09-30T00:00:00.000Z</x:v>
      </x:c>
      <x:c r="C96" s="15" t="str">
        <x:v>Credit card</x:v>
      </x:c>
      <x:c r="D96" s="15" t="str">
        <x:v>Getting a credit card</x:v>
      </x:c>
      <x:c r="E96" s="15" t="str">
        <x:v>WELLS FARGO &amp; COMPANY</x:v>
      </x:c>
      <x:c r="F96" s="15" t="str">
        <x:v>CA</x:v>
      </x:c>
      <x:c r="G96" s="15" t="str">
        <x:v>Yes</x:v>
      </x:c>
      <x:c r="H96" s="15" t="str">
        <x:v>In progress</x:v>
      </x:c>
      <x:c r="I96" s="15" t="str">
        <x:v>Web</x:v>
      </x:c>
      <x:c r="J96" s="16" t="d">
        <x:v>2026-09-30T00:00:00.000Z</x:v>
      </x:c>
      <x:c r="K96" s="15" t="str">
        <x:v>General-purpose credit card or charge card</x:v>
      </x:c>
      <x:c r="L96" s="15" t="str">
        <x:v>Card opened without my consent or knowledge</x:v>
      </x:c>
      <x:c r="M96" s="15" t="str">
        <x:f>_xlfn.XLOOKUP(C96,'Lookups'!$A$7:$A$8,'Lookups'!$B$7:$B$8,"Unmapped",0)</x:f>
        <x:v>Card operations</x:v>
      </x:c>
      <x:c r="N96" s="14" t="n">
        <x:f>DATE(YEAR(B96),MONTH(B96),1)</x:f>
        <x:v>46266</x:v>
      </x:c>
    </x:row>
    <x:row r="97" ht="55" customHeight="1">
      <x:c r="A97" s="13" t="str">
        <x:v>28643908</x:v>
      </x:c>
      <x:c r="B97" s="14" t="d">
        <x:v>2026-09-30T00:00:00.000Z</x:v>
      </x:c>
      <x:c r="C97" s="15" t="str">
        <x:v>Checking or savings account</x:v>
      </x:c>
      <x:c r="D97" s="15" t="str">
        <x:v>Managing an account</x:v>
      </x:c>
      <x:c r="E97" s="15" t="str">
        <x:v>WELLS FARGO &amp; COMPANY</x:v>
      </x:c>
      <x:c r="F97" s="15" t="str">
        <x:v>FL</x:v>
      </x:c>
      <x:c r="G97" s="15" t="str">
        <x:v>Yes</x:v>
      </x:c>
      <x:c r="H97" s="15" t="str">
        <x:v>In progress</x:v>
      </x:c>
      <x:c r="I97" s="15" t="str">
        <x:v>Web</x:v>
      </x:c>
      <x:c r="J97" s="16" t="d">
        <x:v>2026-09-30T00:00:00.000Z</x:v>
      </x:c>
      <x:c r="K97" s="15" t="str">
        <x:v>Checking account</x:v>
      </x:c>
      <x:c r="L97" s="15" t="str">
        <x:v>Deposits and withdrawals</x:v>
      </x:c>
      <x:c r="M97" s="15" t="str">
        <x:f>_xlfn.XLOOKUP(C97,'Lookups'!$A$7:$A$8,'Lookups'!$B$7:$B$8,"Unmapped",0)</x:f>
        <x:v>Deposit operations</x:v>
      </x:c>
      <x:c r="N97" s="14" t="n">
        <x:f>DATE(YEAR(B97),MONTH(B97),1)</x:f>
        <x:v>46266</x:v>
      </x:c>
    </x:row>
    <x:row r="98" ht="55" customHeight="1">
      <x:c r="A98" s="13" t="str">
        <x:v>28644121</x:v>
      </x:c>
      <x:c r="B98" s="14" t="d">
        <x:v>2026-09-30T00:00:00.000Z</x:v>
      </x:c>
      <x:c r="C98" s="15" t="str">
        <x:v>Credit card</x:v>
      </x:c>
      <x:c r="D98" s="15" t="str">
        <x:v>Problem with a purchase shown on your statement</x:v>
      </x:c>
      <x:c r="E98" s="15" t="str">
        <x:v>AMERICAN EXPRESS COMPANY</x:v>
      </x:c>
      <x:c r="F98" s="15" t="str">
        <x:v>MI</x:v>
      </x:c>
      <x:c r="G98" s="15" t="str">
        <x:v>Yes</x:v>
      </x:c>
      <x:c r="H98" s="15" t="str">
        <x:v>Closed with explanation</x:v>
      </x:c>
      <x:c r="I98" s="15" t="str">
        <x:v>Web</x:v>
      </x:c>
      <x:c r="J98" s="16" t="d">
        <x:v>2026-09-30T00:00:00.000Z</x:v>
      </x:c>
      <x:c r="K98" s="15" t="str">
        <x:v>General-purpose credit card or charge card</x:v>
      </x:c>
      <x:c r="L98" s="15" t="str">
        <x:v>Credit card company isn't resolving a dispute about a purchase on your statement</x:v>
      </x:c>
      <x:c r="M98" s="15" t="str">
        <x:f>_xlfn.XLOOKUP(C98,'Lookups'!$A$7:$A$8,'Lookups'!$B$7:$B$8,"Unmapped",0)</x:f>
        <x:v>Card operations</x:v>
      </x:c>
      <x:c r="N98" s="14" t="n">
        <x:f>DATE(YEAR(B98),MONTH(B98),1)</x:f>
        <x:v>46266</x:v>
      </x:c>
    </x:row>
    <x:row r="99" ht="55" customHeight="1">
      <x:c r="A99" s="13" t="str">
        <x:v>28645481</x:v>
      </x:c>
      <x:c r="B99" s="14" t="d">
        <x:v>2026-09-30T00:00:00.000Z</x:v>
      </x:c>
      <x:c r="C99" s="15" t="str">
        <x:v>Checking or savings account</x:v>
      </x:c>
      <x:c r="D99" s="15" t="str">
        <x:v>Closing an account</x:v>
      </x:c>
      <x:c r="E99" s="15" t="str">
        <x:v>TRUIST FINANCIAL CORPORATION</x:v>
      </x:c>
      <x:c r="F99" s="15" t="str">
        <x:v>CO</x:v>
      </x:c>
      <x:c r="G99" s="15" t="str">
        <x:v>Yes</x:v>
      </x:c>
      <x:c r="H99" s="15" t="str">
        <x:v>In progress</x:v>
      </x:c>
      <x:c r="I99" s="15" t="str">
        <x:v>Web</x:v>
      </x:c>
      <x:c r="J99" s="16" t="d">
        <x:v>2026-09-30T00:00:00.000Z</x:v>
      </x:c>
      <x:c r="K99" s="15" t="str">
        <x:v>Savings account</x:v>
      </x:c>
      <x:c r="L99" s="15" t="str">
        <x:v>Can't close your account</x:v>
      </x:c>
      <x:c r="M99" s="15" t="str">
        <x:f>_xlfn.XLOOKUP(C99,'Lookups'!$A$7:$A$8,'Lookups'!$B$7:$B$8,"Unmapped",0)</x:f>
        <x:v>Deposit operations</x:v>
      </x:c>
      <x:c r="N99" s="14" t="n">
        <x:f>DATE(YEAR(B99),MONTH(B99),1)</x:f>
        <x:v>46266</x:v>
      </x:c>
    </x:row>
    <x:row r="100" ht="55" customHeight="1">
      <x:c r="A100" s="13" t="str">
        <x:v>28645501</x:v>
      </x:c>
      <x:c r="B100" s="14" t="d">
        <x:v>2026-09-30T00:00:00.000Z</x:v>
      </x:c>
      <x:c r="C100" s="15" t="str">
        <x:v>Checking or savings account</x:v>
      </x:c>
      <x:c r="D100" s="15" t="str">
        <x:v>Problem with a lender or other company charging your account</x:v>
      </x:c>
      <x:c r="E100" s="15" t="str">
        <x:v>Paypal Holdings, Inc</x:v>
      </x:c>
      <x:c r="F100" s="15" t="str">
        <x:v>OR</x:v>
      </x:c>
      <x:c r="G100" s="15" t="str">
        <x:v>Yes</x:v>
      </x:c>
      <x:c r="H100" s="15" t="str">
        <x:v>Closed with monetary relief</x:v>
      </x:c>
      <x:c r="I100" s="15" t="str">
        <x:v>Web</x:v>
      </x:c>
      <x:c r="J100" s="16" t="d">
        <x:v>2026-09-30T00:00:00.000Z</x:v>
      </x:c>
      <x:c r="K100" s="15" t="str">
        <x:v>Other banking product or service</x:v>
      </x:c>
      <x:c r="L100" s="15" t="str">
        <x:v>Transaction was not authorized</x:v>
      </x:c>
      <x:c r="M100" s="15" t="str">
        <x:f>_xlfn.XLOOKUP(C100,'Lookups'!$A$7:$A$8,'Lookups'!$B$7:$B$8,"Unmapped",0)</x:f>
        <x:v>Deposit operations</x:v>
      </x:c>
      <x:c r="N100" s="14" t="n">
        <x:f>DATE(YEAR(B100),MONTH(B100),1)</x:f>
        <x:v>46266</x:v>
      </x:c>
    </x:row>
    <x:row r="101" ht="55" customHeight="1">
      <x:c r="A101" s="13" t="str">
        <x:v>28645611</x:v>
      </x:c>
      <x:c r="B101" s="14" t="d">
        <x:v>2026-09-30T00:00:00.000Z</x:v>
      </x:c>
      <x:c r="C101" s="15" t="str">
        <x:v>Checking or savings account</x:v>
      </x:c>
      <x:c r="D101" s="15" t="str">
        <x:v>Problem with a lender or other company charging your account</x:v>
      </x:c>
      <x:c r="E101" s="15" t="str">
        <x:v>Chime Financial Inc</x:v>
      </x:c>
      <x:c r="F101" s="15" t="str">
        <x:v>MA</x:v>
      </x:c>
      <x:c r="G101" s="15" t="str">
        <x:v>Yes</x:v>
      </x:c>
      <x:c r="H101" s="15" t="str">
        <x:v>In progress</x:v>
      </x:c>
      <x:c r="I101" s="15" t="str">
        <x:v>Web</x:v>
      </x:c>
      <x:c r="J101" s="16" t="d">
        <x:v>2026-09-30T00:00:00.000Z</x:v>
      </x:c>
      <x:c r="K101" s="15" t="str">
        <x:v>Checking account</x:v>
      </x:c>
      <x:c r="L101" s="15" t="str">
        <x:v>Transaction was not authorized</x:v>
      </x:c>
      <x:c r="M101" s="15" t="str">
        <x:f>_xlfn.XLOOKUP(C101,'Lookups'!$A$7:$A$8,'Lookups'!$B$7:$B$8,"Unmapped",0)</x:f>
        <x:v>Deposit operations</x:v>
      </x:c>
      <x:c r="N101" s="14" t="n">
        <x:f>DATE(YEAR(B101),MONTH(B101),1)</x:f>
        <x:v>46266</x:v>
      </x:c>
    </x:row>
    <x:row r="102" ht="55" customHeight="1">
      <x:c r="A102" s="13" t="str">
        <x:v>28645622</x:v>
      </x:c>
      <x:c r="B102" s="14" t="d">
        <x:v>2026-09-30T00:00:00.000Z</x:v>
      </x:c>
      <x:c r="C102" s="15" t="str">
        <x:v>Checking or savings account</x:v>
      </x:c>
      <x:c r="D102" s="15" t="str">
        <x:v>Closing an account</x:v>
      </x:c>
      <x:c r="E102" s="15" t="str">
        <x:v>JPMORGAN CHASE &amp; CO.</x:v>
      </x:c>
      <x:c r="F102" s="15" t="str">
        <x:v>NY</x:v>
      </x:c>
      <x:c r="G102" s="15" t="str">
        <x:v>Yes</x:v>
      </x:c>
      <x:c r="H102" s="15" t="str">
        <x:v>Closed with explanation</x:v>
      </x:c>
      <x:c r="I102" s="15" t="str">
        <x:v>Web</x:v>
      </x:c>
      <x:c r="J102" s="16" t="d">
        <x:v>2026-09-30T00:00:00.000Z</x:v>
      </x:c>
      <x:c r="K102" s="15" t="str">
        <x:v>Savings account</x:v>
      </x:c>
      <x:c r="L102" s="15" t="str">
        <x:v>Can't close your account</x:v>
      </x:c>
      <x:c r="M102" s="15" t="str">
        <x:f>_xlfn.XLOOKUP(C102,'Lookups'!$A$7:$A$8,'Lookups'!$B$7:$B$8,"Unmapped",0)</x:f>
        <x:v>Deposit operations</x:v>
      </x:c>
      <x:c r="N102" s="14" t="n">
        <x:f>DATE(YEAR(B102),MONTH(B102),1)</x:f>
        <x:v>46266</x:v>
      </x:c>
    </x:row>
    <x:row r="103" ht="55" customHeight="1">
      <x:c r="A103" s="13" t="str">
        <x:v>28645701</x:v>
      </x:c>
      <x:c r="B103" s="14" t="d">
        <x:v>2026-09-30T00:00:00.000Z</x:v>
      </x:c>
      <x:c r="C103" s="15" t="str">
        <x:v>Credit card</x:v>
      </x:c>
      <x:c r="D103" s="15" t="str">
        <x:v>Other features, terms, or problems</x:v>
      </x:c>
      <x:c r="E103" s="15" t="str">
        <x:v>CAPITAL ONE FINANCIAL CORPORATION</x:v>
      </x:c>
      <x:c r="F103" s="15" t="str">
        <x:v>TX</x:v>
      </x:c>
      <x:c r="G103" s="15" t="str">
        <x:v>Yes</x:v>
      </x:c>
      <x:c r="H103" s="15" t="str">
        <x:v>In progress</x:v>
      </x:c>
      <x:c r="I103" s="15" t="str">
        <x:v>Web</x:v>
      </x:c>
      <x:c r="J103" s="16" t="d">
        <x:v>2026-09-30T00:00:00.000Z</x:v>
      </x:c>
      <x:c r="K103" s="15" t="str">
        <x:v>General-purpose credit card or charge card</x:v>
      </x:c>
      <x:c r="L103" s="15" t="str">
        <x:v>Problem with rewards from credit card</x:v>
      </x:c>
      <x:c r="M103" s="15" t="str">
        <x:f>_xlfn.XLOOKUP(C103,'Lookups'!$A$7:$A$8,'Lookups'!$B$7:$B$8,"Unmapped",0)</x:f>
        <x:v>Card operations</x:v>
      </x:c>
      <x:c r="N103" s="14" t="n">
        <x:f>DATE(YEAR(B103),MONTH(B103),1)</x:f>
        <x:v>46266</x:v>
      </x:c>
    </x:row>
    <x:row r="104" ht="55" customHeight="1">
      <x:c r="A104" s="13" t="str">
        <x:v>28645706</x:v>
      </x:c>
      <x:c r="B104" s="14" t="d">
        <x:v>2026-09-30T00:00:00.000Z</x:v>
      </x:c>
      <x:c r="C104" s="15" t="str">
        <x:v>Checking or savings account</x:v>
      </x:c>
      <x:c r="D104" s="15" t="str">
        <x:v>Opening an account</x:v>
      </x:c>
      <x:c r="E104" s="15" t="str">
        <x:v>U.S. BANCORP</x:v>
      </x:c>
      <x:c r="F104" s="15" t="str">
        <x:v>NV</x:v>
      </x:c>
      <x:c r="G104" s="15" t="str">
        <x:v>Yes</x:v>
      </x:c>
      <x:c r="H104" s="15" t="str">
        <x:v>Closed with explanation</x:v>
      </x:c>
      <x:c r="I104" s="15" t="str">
        <x:v>Web</x:v>
      </x:c>
      <x:c r="J104" s="16" t="d">
        <x:v>2026-09-30T00:00:00.000Z</x:v>
      </x:c>
      <x:c r="K104" s="15" t="str">
        <x:v>CD (Certificate of Deposit)</x:v>
      </x:c>
      <x:c r="L104" s="15" t="str">
        <x:v>Account opened without my consent or knowledge</x:v>
      </x:c>
      <x:c r="M104" s="15" t="str">
        <x:f>_xlfn.XLOOKUP(C104,'Lookups'!$A$7:$A$8,'Lookups'!$B$7:$B$8,"Unmapped",0)</x:f>
        <x:v>Deposit operations</x:v>
      </x:c>
      <x:c r="N104" s="14" t="n">
        <x:f>DATE(YEAR(B104),MONTH(B104),1)</x:f>
        <x:v>46266</x:v>
      </x:c>
    </x:row>
    <x:row r="105" ht="55" customHeight="1">
      <x:c r="A105" s="13" t="str">
        <x:v>28646066</x:v>
      </x:c>
      <x:c r="B105" s="14" t="d">
        <x:v>2026-09-30T00:00:00.000Z</x:v>
      </x:c>
      <x:c r="C105" s="15" t="str">
        <x:v>Checking or savings account</x:v>
      </x:c>
      <x:c r="D105" s="15" t="str">
        <x:v>Problem with a lender or other company charging your account</x:v>
      </x:c>
      <x:c r="E105" s="15" t="str">
        <x:v>U.S. BANCORP</x:v>
      </x:c>
      <x:c r="F105" s="15" t="str">
        <x:v>CA</x:v>
      </x:c>
      <x:c r="G105" s="15" t="str">
        <x:v>Yes</x:v>
      </x:c>
      <x:c r="H105" s="15" t="str">
        <x:v>Closed with non-monetary relief</x:v>
      </x:c>
      <x:c r="I105" s="15" t="str">
        <x:v>Web</x:v>
      </x:c>
      <x:c r="J105" s="16" t="d">
        <x:v>2026-09-30T00:00:00.000Z</x:v>
      </x:c>
      <x:c r="K105" s="15" t="str">
        <x:v>Checking account</x:v>
      </x:c>
      <x:c r="L105" s="15" t="str">
        <x:v>Transaction was not authorized</x:v>
      </x:c>
      <x:c r="M105" s="15" t="str">
        <x:f>_xlfn.XLOOKUP(C105,'Lookups'!$A$7:$A$8,'Lookups'!$B$7:$B$8,"Unmapped",0)</x:f>
        <x:v>Deposit operations</x:v>
      </x:c>
      <x:c r="N105" s="14" t="n">
        <x:f>DATE(YEAR(B105),MONTH(B105),1)</x:f>
        <x:v>46266</x:v>
      </x:c>
    </x:row>
    <x:row r="106" ht="55" customHeight="1">
      <x:c r="A106" s="13" t="str">
        <x:v>28646411</x:v>
      </x:c>
      <x:c r="B106" s="14" t="d">
        <x:v>2026-09-30T00:00:00.000Z</x:v>
      </x:c>
      <x:c r="C106" s="15" t="str">
        <x:v>Checking or savings account</x:v>
      </x:c>
      <x:c r="D106" s="15" t="str">
        <x:v>Managing an account</x:v>
      </x:c>
      <x:c r="E106" s="15" t="str">
        <x:v>FIFTH THIRD FINANCIAL CORPORATION</x:v>
      </x:c>
      <x:c r="F106" s="15" t="str">
        <x:v>FL</x:v>
      </x:c>
      <x:c r="G106" s="15" t="str">
        <x:v>Yes</x:v>
      </x:c>
      <x:c r="H106" s="15" t="str">
        <x:v>In progress</x:v>
      </x:c>
      <x:c r="I106" s="15" t="str">
        <x:v>Web</x:v>
      </x:c>
      <x:c r="J106" s="16" t="d">
        <x:v>2026-09-30T00:00:00.000Z</x:v>
      </x:c>
      <x:c r="K106" s="15" t="str">
        <x:v>Checking account</x:v>
      </x:c>
      <x:c r="L106" s="15" t="str">
        <x:v>Banking errors</x:v>
      </x:c>
      <x:c r="M106" s="15" t="str">
        <x:f>_xlfn.XLOOKUP(C106,'Lookups'!$A$7:$A$8,'Lookups'!$B$7:$B$8,"Unmapped",0)</x:f>
        <x:v>Deposit operations</x:v>
      </x:c>
      <x:c r="N106" s="14" t="n">
        <x:f>DATE(YEAR(B106),MONTH(B106),1)</x:f>
        <x:v>46266</x:v>
      </x:c>
    </x:row>
    <x:row r="107" ht="55" customHeight="1">
      <x:c r="A107" s="13" t="str">
        <x:v>28647229</x:v>
      </x:c>
      <x:c r="B107" s="14" t="d">
        <x:v>2026-09-30T00:00:00.000Z</x:v>
      </x:c>
      <x:c r="C107" s="15" t="str">
        <x:v>Checking or savings account</x:v>
      </x:c>
      <x:c r="D107" s="15" t="str">
        <x:v>Closing an account</x:v>
      </x:c>
      <x:c r="E107" s="15" t="str">
        <x:v>Chime Financial Inc</x:v>
      </x:c>
      <x:c r="F107" s="15" t="str">
        <x:v>MN</x:v>
      </x:c>
      <x:c r="G107" s="15" t="str">
        <x:v>Yes</x:v>
      </x:c>
      <x:c r="H107" s="15" t="str">
        <x:v>In progress</x:v>
      </x:c>
      <x:c r="I107" s="15" t="str">
        <x:v>Web</x:v>
      </x:c>
      <x:c r="J107" s="16" t="d">
        <x:v>2026-09-30T00:00:00.000Z</x:v>
      </x:c>
      <x:c r="K107" s="15" t="str">
        <x:v>Checking account</x:v>
      </x:c>
      <x:c r="L107" s="15" t="str">
        <x:v>Can't close your account</x:v>
      </x:c>
      <x:c r="M107" s="15" t="str">
        <x:f>_xlfn.XLOOKUP(C107,'Lookups'!$A$7:$A$8,'Lookups'!$B$7:$B$8,"Unmapped",0)</x:f>
        <x:v>Deposit operations</x:v>
      </x:c>
      <x:c r="N107" s="14" t="n">
        <x:f>DATE(YEAR(B107),MONTH(B107),1)</x:f>
        <x:v>46266</x:v>
      </x:c>
    </x:row>
    <x:row r="108" ht="55" customHeight="1">
      <x:c r="A108" s="13" t="str">
        <x:v>28647231</x:v>
      </x:c>
      <x:c r="B108" s="14" t="d">
        <x:v>2026-09-30T00:00:00.000Z</x:v>
      </x:c>
      <x:c r="C108" s="15" t="str">
        <x:v>Credit card</x:v>
      </x:c>
      <x:c r="D108" s="15" t="str">
        <x:v>Advertising and marketing, including promotional offers</x:v>
      </x:c>
      <x:c r="E108" s="15" t="str">
        <x:v>JPMORGAN CHASE &amp; CO.</x:v>
      </x:c>
      <x:c r="F108" s="15" t="str">
        <x:v>CA</x:v>
      </x:c>
      <x:c r="G108" s="15" t="str">
        <x:v>Yes</x:v>
      </x:c>
      <x:c r="H108" s="15" t="str">
        <x:v>In progress</x:v>
      </x:c>
      <x:c r="I108" s="15" t="str">
        <x:v>Web</x:v>
      </x:c>
      <x:c r="J108" s="16" t="d">
        <x:v>2026-09-30T00:00:00.000Z</x:v>
      </x:c>
      <x:c r="K108" s="15" t="str">
        <x:v>General-purpose credit card or charge card</x:v>
      </x:c>
      <x:c r="L108" s="15" t="str">
        <x:v>Didn't receive advertised or promotional terms</x:v>
      </x:c>
      <x:c r="M108" s="15" t="str">
        <x:f>_xlfn.XLOOKUP(C108,'Lookups'!$A$7:$A$8,'Lookups'!$B$7:$B$8,"Unmapped",0)</x:f>
        <x:v>Card operations</x:v>
      </x:c>
      <x:c r="N108" s="14" t="n">
        <x:f>DATE(YEAR(B108),MONTH(B108),1)</x:f>
        <x:v>46266</x:v>
      </x:c>
    </x:row>
    <x:row r="109" ht="55" customHeight="1">
      <x:c r="A109" s="13" t="str">
        <x:v>28647249</x:v>
      </x:c>
      <x:c r="B109" s="14" t="d">
        <x:v>2026-09-30T00:00:00.000Z</x:v>
      </x:c>
      <x:c r="C109" s="15" t="str">
        <x:v>Checking or savings account</x:v>
      </x:c>
      <x:c r="D109" s="15" t="str">
        <x:v>Managing an account</x:v>
      </x:c>
      <x:c r="E109" s="15" t="str">
        <x:v>JPMORGAN CHASE &amp; CO.</x:v>
      </x:c>
      <x:c r="F109" s="15" t="str">
        <x:v>NJ</x:v>
      </x:c>
      <x:c r="G109" s="15" t="str">
        <x:v>Yes</x:v>
      </x:c>
      <x:c r="H109" s="15" t="str">
        <x:v>Closed with explanation</x:v>
      </x:c>
      <x:c r="I109" s="15" t="str">
        <x:v>Web</x:v>
      </x:c>
      <x:c r="J109" s="16" t="d">
        <x:v>2026-09-30T00:00:00.000Z</x:v>
      </x:c>
      <x:c r="K109" s="15" t="str">
        <x:v>Checking account</x:v>
      </x:c>
      <x:c r="L109" s="15" t="str">
        <x:v>Banking errors</x:v>
      </x:c>
      <x:c r="M109" s="15" t="str">
        <x:f>_xlfn.XLOOKUP(C109,'Lookups'!$A$7:$A$8,'Lookups'!$B$7:$B$8,"Unmapped",0)</x:f>
        <x:v>Deposit operations</x:v>
      </x:c>
      <x:c r="N109" s="14" t="n">
        <x:f>DATE(YEAR(B109),MONTH(B109),1)</x:f>
        <x:v>46266</x:v>
      </x:c>
    </x:row>
    <x:row r="110" ht="55" customHeight="1">
      <x:c r="A110" s="13" t="str">
        <x:v>28647297</x:v>
      </x:c>
      <x:c r="B110" s="14" t="d">
        <x:v>2026-09-30T00:00:00.000Z</x:v>
      </x:c>
      <x:c r="C110" s="15" t="str">
        <x:v>Checking or savings account</x:v>
      </x:c>
      <x:c r="D110" s="15" t="str">
        <x:v>Closing an account</x:v>
      </x:c>
      <x:c r="E110" s="15" t="str">
        <x:v>Chime Financial Inc</x:v>
      </x:c>
      <x:c r="F110" s="15" t="str">
        <x:v>AZ</x:v>
      </x:c>
      <x:c r="G110" s="15" t="str">
        <x:v>Yes</x:v>
      </x:c>
      <x:c r="H110" s="15" t="str">
        <x:v>In progress</x:v>
      </x:c>
      <x:c r="I110" s="15" t="str">
        <x:v>Web</x:v>
      </x:c>
      <x:c r="J110" s="16" t="d">
        <x:v>2026-09-30T00:00:00.000Z</x:v>
      </x:c>
      <x:c r="K110" s="15" t="str">
        <x:v>Checking account</x:v>
      </x:c>
      <x:c r="L110" s="15" t="str">
        <x:v>Can't close your account</x:v>
      </x:c>
      <x:c r="M110" s="15" t="str">
        <x:f>_xlfn.XLOOKUP(C110,'Lookups'!$A$7:$A$8,'Lookups'!$B$7:$B$8,"Unmapped",0)</x:f>
        <x:v>Deposit operations</x:v>
      </x:c>
      <x:c r="N110" s="14" t="n">
        <x:f>DATE(YEAR(B110),MONTH(B110),1)</x:f>
        <x:v>46266</x:v>
      </x:c>
    </x:row>
    <x:row r="111" ht="55" customHeight="1">
      <x:c r="A111" s="13" t="str">
        <x:v>28647583</x:v>
      </x:c>
      <x:c r="B111" s="14" t="d">
        <x:v>2026-09-30T00:00:00.000Z</x:v>
      </x:c>
      <x:c r="C111" s="15" t="str">
        <x:v>Credit card</x:v>
      </x:c>
      <x:c r="D111" s="15" t="str">
        <x:v>Getting a credit card</x:v>
      </x:c>
      <x:c r="E111" s="15" t="str">
        <x:v>TRANSUNION INTERMEDIATE HOLDINGS, INC.</x:v>
      </x:c>
      <x:c r="F111" s="15" t="str">
        <x:v>GA</x:v>
      </x:c>
      <x:c r="G111" s="15" t="str">
        <x:v>Yes</x:v>
      </x:c>
      <x:c r="H111" s="15" t="str">
        <x:v>In progress</x:v>
      </x:c>
      <x:c r="I111" s="15" t="str">
        <x:v>Web</x:v>
      </x:c>
      <x:c r="J111" s="16" t="d">
        <x:v>2026-09-30T00:00:00.000Z</x:v>
      </x:c>
      <x:c r="K111" s="15" t="str">
        <x:v>General-purpose credit card or charge card</x:v>
      </x:c>
      <x:c r="L111" s="15" t="str">
        <x:v>Card opened without my consent or knowledge</x:v>
      </x:c>
      <x:c r="M111" s="15" t="str">
        <x:f>_xlfn.XLOOKUP(C111,'Lookups'!$A$7:$A$8,'Lookups'!$B$7:$B$8,"Unmapped",0)</x:f>
        <x:v>Card operations</x:v>
      </x:c>
      <x:c r="N111" s="14" t="n">
        <x:f>DATE(YEAR(B111),MONTH(B111),1)</x:f>
        <x:v>46266</x:v>
      </x:c>
    </x:row>
    <x:row r="112" ht="55" customHeight="1">
      <x:c r="A112" s="13" t="str">
        <x:v>28648185</x:v>
      </x:c>
      <x:c r="B112" s="14" t="d">
        <x:v>2026-09-30T00:00:00.000Z</x:v>
      </x:c>
      <x:c r="C112" s="15" t="str">
        <x:v>Credit card</x:v>
      </x:c>
      <x:c r="D112" s="15" t="str">
        <x:v>Other features, terms, or problems</x:v>
      </x:c>
      <x:c r="E112" s="15" t="str">
        <x:v>CITIBANK, N.A.</x:v>
      </x:c>
      <x:c r="F112" s="15" t="str">
        <x:v>MD</x:v>
      </x:c>
      <x:c r="G112" s="15" t="str">
        <x:v>Yes</x:v>
      </x:c>
      <x:c r="H112" s="15" t="str">
        <x:v>Closed with explanation</x:v>
      </x:c>
      <x:c r="I112" s="15" t="str">
        <x:v>Web</x:v>
      </x:c>
      <x:c r="J112" s="16" t="d">
        <x:v>2026-09-30T00:00:00.000Z</x:v>
      </x:c>
      <x:c r="K112" s="15" t="str">
        <x:v>General-purpose credit card or charge card</x:v>
      </x:c>
      <x:c r="L112" s="15" t="str">
        <x:v>Problem with rewards from credit card</x:v>
      </x:c>
      <x:c r="M112" s="15" t="str">
        <x:f>_xlfn.XLOOKUP(C112,'Lookups'!$A$7:$A$8,'Lookups'!$B$7:$B$8,"Unmapped",0)</x:f>
        <x:v>Card operations</x:v>
      </x:c>
      <x:c r="N112" s="14" t="n">
        <x:f>DATE(YEAR(B112),MONTH(B112),1)</x:f>
        <x:v>46266</x:v>
      </x:c>
    </x:row>
    <x:row r="113" ht="55" customHeight="1">
      <x:c r="A113" s="13" t="str">
        <x:v>28648979</x:v>
      </x:c>
      <x:c r="B113" s="14" t="d">
        <x:v>2026-09-30T00:00:00.000Z</x:v>
      </x:c>
      <x:c r="C113" s="15" t="str">
        <x:v>Checking or savings account</x:v>
      </x:c>
      <x:c r="D113" s="15" t="str">
        <x:v>Managing an account</x:v>
      </x:c>
      <x:c r="E113" s="15" t="str">
        <x:v>JPMORGAN CHASE &amp; CO.</x:v>
      </x:c>
      <x:c r="F113" s="15" t="str">
        <x:v>CA</x:v>
      </x:c>
      <x:c r="G113" s="15" t="str">
        <x:v>Yes</x:v>
      </x:c>
      <x:c r="H113" s="15" t="str">
        <x:v>Closed with explanation</x:v>
      </x:c>
      <x:c r="I113" s="15" t="str">
        <x:v>Web</x:v>
      </x:c>
      <x:c r="J113" s="16" t="d">
        <x:v>2026-09-30T00:00:00.000Z</x:v>
      </x:c>
      <x:c r="K113" s="15" t="str">
        <x:v>Checking account</x:v>
      </x:c>
      <x:c r="L113" s="15" t="str">
        <x:v>Funds not handled or disbursed as instructed</x:v>
      </x:c>
      <x:c r="M113" s="15" t="str">
        <x:f>_xlfn.XLOOKUP(C113,'Lookups'!$A$7:$A$8,'Lookups'!$B$7:$B$8,"Unmapped",0)</x:f>
        <x:v>Deposit operations</x:v>
      </x:c>
      <x:c r="N113" s="14" t="n">
        <x:f>DATE(YEAR(B113),MONTH(B113),1)</x:f>
        <x:v>46266</x:v>
      </x:c>
    </x:row>
    <x:row r="114" ht="55" customHeight="1">
      <x:c r="A114" s="13" t="str">
        <x:v>28649018</x:v>
      </x:c>
      <x:c r="B114" s="14" t="d">
        <x:v>2026-09-30T00:00:00.000Z</x:v>
      </x:c>
      <x:c r="C114" s="15" t="str">
        <x:v>Checking or savings account</x:v>
      </x:c>
      <x:c r="D114" s="15" t="str">
        <x:v>Managing an account</x:v>
      </x:c>
      <x:c r="E114" s="15" t="str">
        <x:v>U.S. BANCORP</x:v>
      </x:c>
      <x:c r="F114" s="15" t="str">
        <x:v>NV</x:v>
      </x:c>
      <x:c r="G114" s="15" t="str">
        <x:v>Yes</x:v>
      </x:c>
      <x:c r="H114" s="15" t="str">
        <x:v>Closed with explanation</x:v>
      </x:c>
      <x:c r="I114" s="15" t="str">
        <x:v>Web</x:v>
      </x:c>
      <x:c r="J114" s="16" t="d">
        <x:v>2026-09-30T00:00:00.000Z</x:v>
      </x:c>
      <x:c r="K114" s="15" t="str">
        <x:v>Checking account</x:v>
      </x:c>
      <x:c r="L114" s="15" t="str">
        <x:v>Problem using a debit or ATM card</x:v>
      </x:c>
      <x:c r="M114" s="15" t="str">
        <x:f>_xlfn.XLOOKUP(C114,'Lookups'!$A$7:$A$8,'Lookups'!$B$7:$B$8,"Unmapped",0)</x:f>
        <x:v>Deposit operations</x:v>
      </x:c>
      <x:c r="N114" s="14" t="n">
        <x:f>DATE(YEAR(B114),MONTH(B114),1)</x:f>
        <x:v>46266</x:v>
      </x:c>
    </x:row>
    <x:row r="115" ht="55" customHeight="1">
      <x:c r="A115" s="13" t="str">
        <x:v>28649348</x:v>
      </x:c>
      <x:c r="B115" s="14" t="d">
        <x:v>2026-09-30T00:00:00.000Z</x:v>
      </x:c>
      <x:c r="C115" s="15" t="str">
        <x:v>Checking or savings account</x:v>
      </x:c>
      <x:c r="D115" s="15" t="str">
        <x:v>Managing an account</x:v>
      </x:c>
      <x:c r="E115" s="15" t="str">
        <x:v>FIFTH THIRD FINANCIAL CORPORATION</x:v>
      </x:c>
      <x:c r="F115" s="15" t="str">
        <x:v>FL</x:v>
      </x:c>
      <x:c r="G115" s="15" t="str">
        <x:v>Yes</x:v>
      </x:c>
      <x:c r="H115" s="15" t="str">
        <x:v>Closed with explanation</x:v>
      </x:c>
      <x:c r="I115" s="15" t="str">
        <x:v>Web</x:v>
      </x:c>
      <x:c r="J115" s="16" t="d">
        <x:v>2026-09-30T00:00:00.000Z</x:v>
      </x:c>
      <x:c r="K115" s="15" t="str">
        <x:v>Checking account</x:v>
      </x:c>
      <x:c r="L115" s="15" t="str">
        <x:v>Problem using a debit or ATM card</x:v>
      </x:c>
      <x:c r="M115" s="15" t="str">
        <x:f>_xlfn.XLOOKUP(C115,'Lookups'!$A$7:$A$8,'Lookups'!$B$7:$B$8,"Unmapped",0)</x:f>
        <x:v>Deposit operations</x:v>
      </x:c>
      <x:c r="N115" s="14" t="n">
        <x:f>DATE(YEAR(B115),MONTH(B115),1)</x:f>
        <x:v>46266</x:v>
      </x:c>
    </x:row>
    <x:row r="116" ht="55" customHeight="1">
      <x:c r="A116" s="13" t="str">
        <x:v>28649716</x:v>
      </x:c>
      <x:c r="B116" s="14" t="d">
        <x:v>2026-09-30T00:00:00.000Z</x:v>
      </x:c>
      <x:c r="C116" s="15" t="str">
        <x:v>Credit card</x:v>
      </x:c>
      <x:c r="D116" s="15" t="str">
        <x:v>Fees or interest</x:v>
      </x:c>
      <x:c r="E116" s="15" t="str">
        <x:v>JPMORGAN CHASE &amp; CO.</x:v>
      </x:c>
      <x:c r="F116" s="15" t="str">
        <x:v>VA</x:v>
      </x:c>
      <x:c r="G116" s="15" t="str">
        <x:v>Yes</x:v>
      </x:c>
      <x:c r="H116" s="15" t="str">
        <x:v>Closed with monetary relief</x:v>
      </x:c>
      <x:c r="I116" s="15" t="str">
        <x:v>Web</x:v>
      </x:c>
      <x:c r="J116" s="16" t="d">
        <x:v>2026-09-30T00:00:00.000Z</x:v>
      </x:c>
      <x:c r="K116" s="15" t="str">
        <x:v>General-purpose credit card or charge card</x:v>
      </x:c>
      <x:c r="L116" s="15" t="str">
        <x:v>Problem with fees</x:v>
      </x:c>
      <x:c r="M116" s="15" t="str">
        <x:f>_xlfn.XLOOKUP(C116,'Lookups'!$A$7:$A$8,'Lookups'!$B$7:$B$8,"Unmapped",0)</x:f>
        <x:v>Card operations</x:v>
      </x:c>
      <x:c r="N116" s="14" t="n">
        <x:f>DATE(YEAR(B116),MONTH(B116),1)</x:f>
        <x:v>46266</x:v>
      </x:c>
    </x:row>
    <x:row r="117" ht="55" customHeight="1">
      <x:c r="A117" s="13" t="str">
        <x:v>28650489</x:v>
      </x:c>
      <x:c r="B117" s="14" t="d">
        <x:v>2026-09-30T00:00:00.000Z</x:v>
      </x:c>
      <x:c r="C117" s="15" t="str">
        <x:v>Checking or savings account</x:v>
      </x:c>
      <x:c r="D117" s="15" t="str">
        <x:v>Managing an account</x:v>
      </x:c>
      <x:c r="E117" s="15" t="str">
        <x:v>NAVY FEDERAL CREDIT UNION</x:v>
      </x:c>
      <x:c r="F117" s="15" t="str">
        <x:v>NM</x:v>
      </x:c>
      <x:c r="G117" s="15" t="str">
        <x:v>Yes</x:v>
      </x:c>
      <x:c r="H117" s="15" t="str">
        <x:v>In progress</x:v>
      </x:c>
      <x:c r="I117" s="15" t="str">
        <x:v>Web</x:v>
      </x:c>
      <x:c r="J117" s="16" t="d">
        <x:v>2026-09-30T00:00:00.000Z</x:v>
      </x:c>
      <x:c r="K117" s="15" t="str">
        <x:v>Checking account</x:v>
      </x:c>
      <x:c r="L117" s="15" t="str">
        <x:v>Deposits and withdrawals</x:v>
      </x:c>
      <x:c r="M117" s="15" t="str">
        <x:f>_xlfn.XLOOKUP(C117,'Lookups'!$A$7:$A$8,'Lookups'!$B$7:$B$8,"Unmapped",0)</x:f>
        <x:v>Deposit operations</x:v>
      </x:c>
      <x:c r="N117" s="14" t="n">
        <x:f>DATE(YEAR(B117),MONTH(B117),1)</x:f>
        <x:v>46266</x:v>
      </x:c>
    </x:row>
    <x:row r="118" ht="55" customHeight="1">
      <x:c r="A118" s="13" t="str">
        <x:v>28650500</x:v>
      </x:c>
      <x:c r="B118" s="14" t="d">
        <x:v>2026-09-30T00:00:00.000Z</x:v>
      </x:c>
      <x:c r="C118" s="15" t="str">
        <x:v>Checking or savings account</x:v>
      </x:c>
      <x:c r="D118" s="15" t="str">
        <x:v>Opening an account</x:v>
      </x:c>
      <x:c r="E118" s="15" t="str">
        <x:v>JPMORGAN CHASE &amp; CO.</x:v>
      </x:c>
      <x:c r="F118" s="15" t="str">
        <x:v>GA</x:v>
      </x:c>
      <x:c r="G118" s="15" t="str">
        <x:v>Yes</x:v>
      </x:c>
      <x:c r="H118" s="15" t="str">
        <x:v>Closed with explanation</x:v>
      </x:c>
      <x:c r="I118" s="15" t="str">
        <x:v>Web</x:v>
      </x:c>
      <x:c r="J118" s="16" t="d">
        <x:v>2026-09-30T00:00:00.000Z</x:v>
      </x:c>
      <x:c r="K118" s="15" t="str">
        <x:v>Checking account</x:v>
      </x:c>
      <x:c r="L118" s="15" t="str">
        <x:v>Unable to open an account</x:v>
      </x:c>
      <x:c r="M118" s="15" t="str">
        <x:f>_xlfn.XLOOKUP(C118,'Lookups'!$A$7:$A$8,'Lookups'!$B$7:$B$8,"Unmapped",0)</x:f>
        <x:v>Deposit operations</x:v>
      </x:c>
      <x:c r="N118" s="14" t="n">
        <x:f>DATE(YEAR(B118),MONTH(B118),1)</x:f>
        <x:v>46266</x:v>
      </x:c>
    </x:row>
    <x:row r="119" ht="55" customHeight="1">
      <x:c r="A119" s="13" t="str">
        <x:v>28650938</x:v>
      </x:c>
      <x:c r="B119" s="14" t="d">
        <x:v>2026-09-30T00:00:00.000Z</x:v>
      </x:c>
      <x:c r="C119" s="15" t="str">
        <x:v>Checking or savings account</x:v>
      </x:c>
      <x:c r="D119" s="15" t="str">
        <x:v>Closing an account</x:v>
      </x:c>
      <x:c r="E119" s="15" t="str">
        <x:v>JPMORGAN CHASE &amp; CO.</x:v>
      </x:c>
      <x:c r="F119" s="15" t="str">
        <x:v>NV</x:v>
      </x:c>
      <x:c r="G119" s="15" t="str">
        <x:v>Yes</x:v>
      </x:c>
      <x:c r="H119" s="15" t="str">
        <x:v>Closed with explanation</x:v>
      </x:c>
      <x:c r="I119" s="15" t="str">
        <x:v>Web</x:v>
      </x:c>
      <x:c r="J119" s="16" t="d">
        <x:v>2026-09-30T00:00:00.000Z</x:v>
      </x:c>
      <x:c r="K119" s="15" t="str">
        <x:v>Checking account</x:v>
      </x:c>
      <x:c r="L119" s="15" t="str">
        <x:v>Company closed your account</x:v>
      </x:c>
      <x:c r="M119" s="15" t="str">
        <x:f>_xlfn.XLOOKUP(C119,'Lookups'!$A$7:$A$8,'Lookups'!$B$7:$B$8,"Unmapped",0)</x:f>
        <x:v>Deposit operations</x:v>
      </x:c>
      <x:c r="N119" s="14" t="n">
        <x:f>DATE(YEAR(B119),MONTH(B119),1)</x:f>
        <x:v>46266</x:v>
      </x:c>
    </x:row>
    <x:row r="120" ht="55" customHeight="1">
      <x:c r="A120" s="13" t="str">
        <x:v>28651124</x:v>
      </x:c>
      <x:c r="B120" s="14" t="d">
        <x:v>2026-09-30T00:00:00.000Z</x:v>
      </x:c>
      <x:c r="C120" s="15" t="str">
        <x:v>Credit card</x:v>
      </x:c>
      <x:c r="D120" s="15" t="str">
        <x:v>Problem with a purchase shown on your statement</x:v>
      </x:c>
      <x:c r="E120" s="15" t="str">
        <x:v>CAPITAL ONE FINANCIAL CORPORATION</x:v>
      </x:c>
      <x:c r="F120" s="15" t="str">
        <x:v>OH</x:v>
      </x:c>
      <x:c r="G120" s="15" t="str">
        <x:v>Yes</x:v>
      </x:c>
      <x:c r="H120" s="15" t="str">
        <x:v>In progress</x:v>
      </x:c>
      <x:c r="I120" s="15" t="str">
        <x:v>Web</x:v>
      </x:c>
      <x:c r="J120" s="16" t="d">
        <x:v>2026-09-30T00:00:00.000Z</x:v>
      </x:c>
      <x:c r="K120" s="15" t="str">
        <x:v>General-purpose credit card or charge card</x:v>
      </x:c>
      <x:c r="L120" s="15" t="str">
        <x:v>Credit card company isn't resolving a dispute about a purchase on your statement</x:v>
      </x:c>
      <x:c r="M120" s="15" t="str">
        <x:f>_xlfn.XLOOKUP(C120,'Lookups'!$A$7:$A$8,'Lookups'!$B$7:$B$8,"Unmapped",0)</x:f>
        <x:v>Card operations</x:v>
      </x:c>
      <x:c r="N120" s="14" t="n">
        <x:f>DATE(YEAR(B120),MONTH(B120),1)</x:f>
        <x:v>46266</x:v>
      </x:c>
    </x:row>
    <x:row r="121" ht="55" customHeight="1">
      <x:c r="A121" s="13" t="str">
        <x:v>28651482</x:v>
      </x:c>
      <x:c r="B121" s="14" t="d">
        <x:v>2026-09-30T00:00:00.000Z</x:v>
      </x:c>
      <x:c r="C121" s="15" t="str">
        <x:v>Checking or savings account</x:v>
      </x:c>
      <x:c r="D121" s="15" t="str">
        <x:v>Problem with a lender or other company charging your account</x:v>
      </x:c>
      <x:c r="E121" s="15" t="str">
        <x:v>Chime Financial Inc</x:v>
      </x:c>
      <x:c r="F121" s="15" t="str">
        <x:v>PA</x:v>
      </x:c>
      <x:c r="G121" s="15" t="str">
        <x:v>Yes</x:v>
      </x:c>
      <x:c r="H121" s="15" t="str">
        <x:v>In progress</x:v>
      </x:c>
      <x:c r="I121" s="15" t="str">
        <x:v>Web</x:v>
      </x:c>
      <x:c r="J121" s="16" t="d">
        <x:v>2026-09-30T00:00:00.000Z</x:v>
      </x:c>
      <x:c r="K121" s="15" t="str">
        <x:v>Checking account</x:v>
      </x:c>
      <x:c r="L121" s="15" t="str">
        <x:v>Transaction was not authorized</x:v>
      </x:c>
      <x:c r="M121" s="15" t="str">
        <x:f>_xlfn.XLOOKUP(C121,'Lookups'!$A$7:$A$8,'Lookups'!$B$7:$B$8,"Unmapped",0)</x:f>
        <x:v>Deposit operations</x:v>
      </x:c>
      <x:c r="N121" s="14" t="n">
        <x:f>DATE(YEAR(B121),MONTH(B121),1)</x:f>
        <x:v>46266</x:v>
      </x:c>
    </x:row>
    <x:row r="122" ht="55" customHeight="1">
      <x:c r="A122" s="13" t="str">
        <x:v>28652747</x:v>
      </x:c>
      <x:c r="B122" s="14" t="d">
        <x:v>2026-09-30T00:00:00.000Z</x:v>
      </x:c>
      <x:c r="C122" s="15" t="str">
        <x:v>Credit card</x:v>
      </x:c>
      <x:c r="D122" s="15" t="str">
        <x:v>Problem with a purchase shown on your statement</x:v>
      </x:c>
      <x:c r="E122" s="15" t="str">
        <x:v>PNC Bank N.A.</x:v>
      </x:c>
      <x:c r="F122" s="15" t="str">
        <x:v>TX</x:v>
      </x:c>
      <x:c r="G122" s="15" t="str">
        <x:v>Yes</x:v>
      </x:c>
      <x:c r="H122" s="15" t="str">
        <x:v>In progress</x:v>
      </x:c>
      <x:c r="I122" s="15" t="str">
        <x:v>Web</x:v>
      </x:c>
      <x:c r="J122" s="16" t="d">
        <x:v>2026-09-30T00:00:00.000Z</x:v>
      </x:c>
      <x:c r="K122" s="15" t="str">
        <x:v>General-purpose credit card or charge card</x:v>
      </x:c>
      <x:c r="L122" s="15" t="str">
        <x:v>Credit card company isn't resolving a dispute about a purchase on your statement</x:v>
      </x:c>
      <x:c r="M122" s="15" t="str">
        <x:f>_xlfn.XLOOKUP(C122,'Lookups'!$A$7:$A$8,'Lookups'!$B$7:$B$8,"Unmapped",0)</x:f>
        <x:v>Card operations</x:v>
      </x:c>
      <x:c r="N122" s="14" t="n">
        <x:f>DATE(YEAR(B122),MONTH(B122),1)</x:f>
        <x:v>46266</x:v>
      </x:c>
    </x:row>
    <x:row r="123" ht="55" customHeight="1">
      <x:c r="A123" s="13" t="str">
        <x:v>28652749</x:v>
      </x:c>
      <x:c r="B123" s="14" t="d">
        <x:v>2026-09-30T00:00:00.000Z</x:v>
      </x:c>
      <x:c r="C123" s="15" t="str">
        <x:v>Checking or savings account</x:v>
      </x:c>
      <x:c r="D123" s="15" t="str">
        <x:v>Problem with a lender or other company charging your account</x:v>
      </x:c>
      <x:c r="E123" s="15" t="str">
        <x:v>SOFI TECHNOLOGIES, INC.</x:v>
      </x:c>
      <x:c r="F123" s="15" t="str">
        <x:v>NY</x:v>
      </x:c>
      <x:c r="G123" s="15" t="str">
        <x:v>Yes</x:v>
      </x:c>
      <x:c r="H123" s="15" t="str">
        <x:v>Closed with explanation</x:v>
      </x:c>
      <x:c r="I123" s="15" t="str">
        <x:v>Web</x:v>
      </x:c>
      <x:c r="J123" s="16" t="d">
        <x:v>2026-09-30T00:00:00.000Z</x:v>
      </x:c>
      <x:c r="K123" s="15" t="str">
        <x:v>Checking account</x:v>
      </x:c>
      <x:c r="L123" s="15" t="str">
        <x:v>Transaction was not authorized</x:v>
      </x:c>
      <x:c r="M123" s="15" t="str">
        <x:f>_xlfn.XLOOKUP(C123,'Lookups'!$A$7:$A$8,'Lookups'!$B$7:$B$8,"Unmapped",0)</x:f>
        <x:v>Deposit operations</x:v>
      </x:c>
      <x:c r="N123" s="14" t="n">
        <x:f>DATE(YEAR(B123),MONTH(B123),1)</x:f>
        <x:v>46266</x:v>
      </x:c>
    </x:row>
    <x:row r="124" ht="55" customHeight="1">
      <x:c r="A124" s="13" t="str">
        <x:v>28652781</x:v>
      </x:c>
      <x:c r="B124" s="14" t="d">
        <x:v>2026-09-30T00:00:00.000Z</x:v>
      </x:c>
      <x:c r="C124" s="15" t="str">
        <x:v>Checking or savings account</x:v>
      </x:c>
      <x:c r="D124" s="15" t="str">
        <x:v>Managing an account</x:v>
      </x:c>
      <x:c r="E124" s="15" t="str">
        <x:v>FIFTH THIRD FINANCIAL CORPORATION</x:v>
      </x:c>
      <x:c r="F124" s="15" t="str">
        <x:v>IL</x:v>
      </x:c>
      <x:c r="G124" s="15" t="str">
        <x:v>Yes</x:v>
      </x:c>
      <x:c r="H124" s="15" t="str">
        <x:v>In progress</x:v>
      </x:c>
      <x:c r="I124" s="15" t="str">
        <x:v>Web</x:v>
      </x:c>
      <x:c r="J124" s="16" t="d">
        <x:v>2026-09-30T00:00:00.000Z</x:v>
      </x:c>
      <x:c r="K124" s="15" t="str">
        <x:v>Checking account</x:v>
      </x:c>
      <x:c r="L124" s="15" t="str">
        <x:v>Problem using a debit or ATM card</x:v>
      </x:c>
      <x:c r="M124" s="15" t="str">
        <x:f>_xlfn.XLOOKUP(C124,'Lookups'!$A$7:$A$8,'Lookups'!$B$7:$B$8,"Unmapped",0)</x:f>
        <x:v>Deposit operations</x:v>
      </x:c>
      <x:c r="N124" s="14" t="n">
        <x:f>DATE(YEAR(B124),MONTH(B124),1)</x:f>
        <x:v>46266</x:v>
      </x:c>
    </x:row>
    <x:row r="125" ht="55" customHeight="1">
      <x:c r="A125" s="13" t="str">
        <x:v>28652891</x:v>
      </x:c>
      <x:c r="B125" s="14" t="d">
        <x:v>2026-09-30T00:00:00.000Z</x:v>
      </x:c>
      <x:c r="C125" s="15" t="str">
        <x:v>Credit card</x:v>
      </x:c>
      <x:c r="D125" s="15" t="str">
        <x:v>Problem with a purchase shown on your statement</x:v>
      </x:c>
      <x:c r="E125" s="15" t="str">
        <x:v>ROBINHOOD MARKETS INC.</x:v>
      </x:c>
      <x:c r="F125" s="15" t="str">
        <x:v>WA</x:v>
      </x:c>
      <x:c r="G125" s="15" t="str">
        <x:v>Yes</x:v>
      </x:c>
      <x:c r="H125" s="15" t="str">
        <x:v>In progress</x:v>
      </x:c>
      <x:c r="I125" s="15" t="str">
        <x:v>Web</x:v>
      </x:c>
      <x:c r="J125" s="16" t="d">
        <x:v>2026-09-30T00:00:00.000Z</x:v>
      </x:c>
      <x:c r="K125" s="15" t="str">
        <x:v>General-purpose credit card or charge card</x:v>
      </x:c>
      <x:c r="L125" s="15" t="str">
        <x:v>Overcharged for something you did purchase with the card</x:v>
      </x:c>
      <x:c r="M125" s="15" t="str">
        <x:f>_xlfn.XLOOKUP(C125,'Lookups'!$A$7:$A$8,'Lookups'!$B$7:$B$8,"Unmapped",0)</x:f>
        <x:v>Card operations</x:v>
      </x:c>
      <x:c r="N125" s="14" t="n">
        <x:f>DATE(YEAR(B125),MONTH(B125),1)</x:f>
        <x:v>46266</x:v>
      </x:c>
    </x:row>
    <x:row r="126" ht="55" customHeight="1">
      <x:c r="A126" s="13" t="str">
        <x:v>28652929</x:v>
      </x:c>
      <x:c r="B126" s="14" t="d">
        <x:v>2026-09-30T00:00:00.000Z</x:v>
      </x:c>
      <x:c r="C126" s="15" t="str">
        <x:v>Credit card</x:v>
      </x:c>
      <x:c r="D126" s="15" t="str">
        <x:v>Other features, terms, or problems</x:v>
      </x:c>
      <x:c r="E126" s="15" t="str">
        <x:v>AMERICAN EXPRESS COMPANY</x:v>
      </x:c>
      <x:c r="F126" s="15" t="str">
        <x:v>NJ</x:v>
      </x:c>
      <x:c r="G126" s="15" t="str">
        <x:v>Yes</x:v>
      </x:c>
      <x:c r="H126" s="15" t="str">
        <x:v>In progress</x:v>
      </x:c>
      <x:c r="I126" s="15" t="str">
        <x:v>Web</x:v>
      </x:c>
      <x:c r="J126" s="16" t="d">
        <x:v>2026-09-30T00:00:00.000Z</x:v>
      </x:c>
      <x:c r="K126" s="15" t="str">
        <x:v>General-purpose credit card or charge card</x:v>
      </x:c>
      <x:c r="L126" s="15" t="str">
        <x:v>Problem with rewards from credit card</x:v>
      </x:c>
      <x:c r="M126" s="15" t="str">
        <x:f>_xlfn.XLOOKUP(C126,'Lookups'!$A$7:$A$8,'Lookups'!$B$7:$B$8,"Unmapped",0)</x:f>
        <x:v>Card operations</x:v>
      </x:c>
      <x:c r="N126" s="14" t="n">
        <x:f>DATE(YEAR(B126),MONTH(B126),1)</x:f>
        <x:v>46266</x:v>
      </x:c>
    </x:row>
    <x:row r="127" ht="55" customHeight="1">
      <x:c r="A127" s="13" t="str">
        <x:v>28653121</x:v>
      </x:c>
      <x:c r="B127" s="14" t="d">
        <x:v>2026-09-30T00:00:00.000Z</x:v>
      </x:c>
      <x:c r="C127" s="15" t="str">
        <x:v>Checking or savings account</x:v>
      </x:c>
      <x:c r="D127" s="15" t="str">
        <x:v>Closing an account</x:v>
      </x:c>
      <x:c r="E127" s="15" t="str">
        <x:v>Block, Inc.</x:v>
      </x:c>
      <x:c r="F127" s="15" t="str">
        <x:v>AL</x:v>
      </x:c>
      <x:c r="G127" s="15" t="str">
        <x:v>Yes</x:v>
      </x:c>
      <x:c r="H127" s="15" t="str">
        <x:v>Closed with explanation</x:v>
      </x:c>
      <x:c r="I127" s="15" t="str">
        <x:v>Web</x:v>
      </x:c>
      <x:c r="J127" s="16" t="d">
        <x:v>2026-09-30T00:00:00.000Z</x:v>
      </x:c>
      <x:c r="K127" s="15" t="str">
        <x:v>Other banking product or service</x:v>
      </x:c>
      <x:c r="L127" s="15" t="str">
        <x:v>Company closed your account</x:v>
      </x:c>
      <x:c r="M127" s="15" t="str">
        <x:f>_xlfn.XLOOKUP(C127,'Lookups'!$A$7:$A$8,'Lookups'!$B$7:$B$8,"Unmapped",0)</x:f>
        <x:v>Deposit operations</x:v>
      </x:c>
      <x:c r="N127" s="14" t="n">
        <x:f>DATE(YEAR(B127),MONTH(B127),1)</x:f>
        <x:v>46266</x:v>
      </x:c>
    </x:row>
    <x:row r="128" ht="55" customHeight="1">
      <x:c r="A128" s="13" t="str">
        <x:v>28653255</x:v>
      </x:c>
      <x:c r="B128" s="14" t="d">
        <x:v>2026-09-30T00:00:00.000Z</x:v>
      </x:c>
      <x:c r="C128" s="15" t="str">
        <x:v>Credit card</x:v>
      </x:c>
      <x:c r="D128" s="15" t="str">
        <x:v>Other features, terms, or problems</x:v>
      </x:c>
      <x:c r="E128" s="15" t="str">
        <x:v>AMERICAN EXPRESS COMPANY</x:v>
      </x:c>
      <x:c r="F128" s="15" t="str">
        <x:v>CT</x:v>
      </x:c>
      <x:c r="G128" s="15" t="str">
        <x:v>Yes</x:v>
      </x:c>
      <x:c r="H128" s="15" t="str">
        <x:v>Closed with explanation</x:v>
      </x:c>
      <x:c r="I128" s="15" t="str">
        <x:v>Web</x:v>
      </x:c>
      <x:c r="J128" s="16" t="d">
        <x:v>2026-09-30T00:00:00.000Z</x:v>
      </x:c>
      <x:c r="K128" s="15" t="str">
        <x:v>General-purpose credit card or charge card</x:v>
      </x:c>
      <x:c r="L128" s="15" t="str">
        <x:v>Other problem</x:v>
      </x:c>
      <x:c r="M128" s="15" t="str">
        <x:f>_xlfn.XLOOKUP(C128,'Lookups'!$A$7:$A$8,'Lookups'!$B$7:$B$8,"Unmapped",0)</x:f>
        <x:v>Card operations</x:v>
      </x:c>
      <x:c r="N128" s="14" t="n">
        <x:f>DATE(YEAR(B128),MONTH(B128),1)</x:f>
        <x:v>46266</x:v>
      </x:c>
    </x:row>
    <x:row r="129" ht="55" customHeight="1">
      <x:c r="A129" s="13" t="str">
        <x:v>28653454</x:v>
      </x:c>
      <x:c r="B129" s="14" t="d">
        <x:v>2026-09-30T00:00:00.000Z</x:v>
      </x:c>
      <x:c r="C129" s="15" t="str">
        <x:v>Credit card</x:v>
      </x:c>
      <x:c r="D129" s="15" t="str">
        <x:v>Advertising and marketing, including promotional offers</x:v>
      </x:c>
      <x:c r="E129" s="15" t="str">
        <x:v>CAPITAL ONE FINANCIAL CORPORATION</x:v>
      </x:c>
      <x:c r="F129" s="15" t="str">
        <x:v>NJ</x:v>
      </x:c>
      <x:c r="G129" s="15" t="str">
        <x:v>Yes</x:v>
      </x:c>
      <x:c r="H129" s="15" t="str">
        <x:v>Closed with explanation</x:v>
      </x:c>
      <x:c r="I129" s="15" t="str">
        <x:v>Web</x:v>
      </x:c>
      <x:c r="J129" s="16" t="d">
        <x:v>2026-09-30T00:00:00.000Z</x:v>
      </x:c>
      <x:c r="K129" s="15" t="str">
        <x:v>General-purpose credit card or charge card</x:v>
      </x:c>
      <x:c r="L129" s="15" t="str">
        <x:v>Confusing or misleading advertising about the credit card</x:v>
      </x:c>
      <x:c r="M129" s="15" t="str">
        <x:f>_xlfn.XLOOKUP(C129,'Lookups'!$A$7:$A$8,'Lookups'!$B$7:$B$8,"Unmapped",0)</x:f>
        <x:v>Card operations</x:v>
      </x:c>
      <x:c r="N129" s="14" t="n">
        <x:f>DATE(YEAR(B129),MONTH(B129),1)</x:f>
        <x:v>46266</x:v>
      </x:c>
    </x:row>
    <x:row r="130" ht="55" customHeight="1">
      <x:c r="A130" s="13" t="str">
        <x:v>28653505</x:v>
      </x:c>
      <x:c r="B130" s="14" t="d">
        <x:v>2026-09-30T00:00:00.000Z</x:v>
      </x:c>
      <x:c r="C130" s="15" t="str">
        <x:v>Credit card</x:v>
      </x:c>
      <x:c r="D130" s="15" t="str">
        <x:v>Closing your account</x:v>
      </x:c>
      <x:c r="E130" s="15" t="str">
        <x:v>CAPITAL ONE FINANCIAL CORPORATION</x:v>
      </x:c>
      <x:c r="F130" s="15" t="str">
        <x:v>FL</x:v>
      </x:c>
      <x:c r="G130" s="15" t="str">
        <x:v>Yes</x:v>
      </x:c>
      <x:c r="H130" s="15" t="str">
        <x:v>Closed with explanation</x:v>
      </x:c>
      <x:c r="I130" s="15" t="str">
        <x:v>Web</x:v>
      </x:c>
      <x:c r="J130" s="16" t="d">
        <x:v>2026-09-30T00:00:00.000Z</x:v>
      </x:c>
      <x:c r="K130" s="15" t="str">
        <x:v>General-purpose credit card or charge card</x:v>
      </x:c>
      <x:c r="L130" s="15" t="str">
        <x:v>Company closed your account</x:v>
      </x:c>
      <x:c r="M130" s="15" t="str">
        <x:f>_xlfn.XLOOKUP(C130,'Lookups'!$A$7:$A$8,'Lookups'!$B$7:$B$8,"Unmapped",0)</x:f>
        <x:v>Card operations</x:v>
      </x:c>
      <x:c r="N130" s="14" t="n">
        <x:f>DATE(YEAR(B130),MONTH(B130),1)</x:f>
        <x:v>46266</x:v>
      </x:c>
    </x:row>
    <x:row r="131" ht="55" customHeight="1">
      <x:c r="A131" s="13" t="str">
        <x:v>28654468</x:v>
      </x:c>
      <x:c r="B131" s="14" t="d">
        <x:v>2026-09-30T00:00:00.000Z</x:v>
      </x:c>
      <x:c r="C131" s="15" t="str">
        <x:v>Checking or savings account</x:v>
      </x:c>
      <x:c r="D131" s="15" t="str">
        <x:v>Managing an account</x:v>
      </x:c>
      <x:c r="E131" s="15" t="str">
        <x:v>Paypal Holdings, Inc</x:v>
      </x:c>
      <x:c r="F131" s="15" t="str">
        <x:v>CA</x:v>
      </x:c>
      <x:c r="G131" s="15" t="str">
        <x:v>Yes</x:v>
      </x:c>
      <x:c r="H131" s="15" t="str">
        <x:v>Closed with explanation</x:v>
      </x:c>
      <x:c r="I131" s="15" t="str">
        <x:v>Web</x:v>
      </x:c>
      <x:c r="J131" s="16" t="d">
        <x:v>2026-09-30T00:00:00.000Z</x:v>
      </x:c>
      <x:c r="K131" s="15" t="str">
        <x:v>Checking account</x:v>
      </x:c>
      <x:c r="L131" s="15" t="str">
        <x:v>Problem using a debit or ATM card</x:v>
      </x:c>
      <x:c r="M131" s="15" t="str">
        <x:f>_xlfn.XLOOKUP(C131,'Lookups'!$A$7:$A$8,'Lookups'!$B$7:$B$8,"Unmapped",0)</x:f>
        <x:v>Deposit operations</x:v>
      </x:c>
      <x:c r="N131" s="14" t="n">
        <x:f>DATE(YEAR(B131),MONTH(B131),1)</x:f>
        <x:v>46266</x:v>
      </x:c>
    </x:row>
    <x:row r="132" ht="55" customHeight="1">
      <x:c r="A132" s="13" t="str">
        <x:v>28654576</x:v>
      </x:c>
      <x:c r="B132" s="14" t="d">
        <x:v>2026-09-30T00:00:00.000Z</x:v>
      </x:c>
      <x:c r="C132" s="15" t="str">
        <x:v>Checking or savings account</x:v>
      </x:c>
      <x:c r="D132" s="15" t="str">
        <x:v>Managing an account</x:v>
      </x:c>
      <x:c r="E132" s="15" t="str">
        <x:v>HSBC NORTH AMERICA HOLDINGS INC.</x:v>
      </x:c>
      <x:c r="F132" s="15" t="str">
        <x:v>NY</x:v>
      </x:c>
      <x:c r="G132" s="15" t="str">
        <x:v>Yes</x:v>
      </x:c>
      <x:c r="H132" s="15" t="str">
        <x:v>Closed with explanation</x:v>
      </x:c>
      <x:c r="I132" s="15" t="str">
        <x:v>Web</x:v>
      </x:c>
      <x:c r="J132" s="16" t="d">
        <x:v>2026-09-30T00:00:00.000Z</x:v>
      </x:c>
      <x:c r="K132" s="15" t="str">
        <x:v>Savings account</x:v>
      </x:c>
      <x:c r="L132" s="15" t="str">
        <x:v>Problem accessing account</x:v>
      </x:c>
      <x:c r="M132" s="15" t="str">
        <x:f>_xlfn.XLOOKUP(C132,'Lookups'!$A$7:$A$8,'Lookups'!$B$7:$B$8,"Unmapped",0)</x:f>
        <x:v>Deposit operations</x:v>
      </x:c>
      <x:c r="N132" s="14" t="n">
        <x:f>DATE(YEAR(B132),MONTH(B132),1)</x:f>
        <x:v>46266</x:v>
      </x:c>
    </x:row>
    <x:row r="133" ht="55" customHeight="1">
      <x:c r="A133" s="13" t="str">
        <x:v>28654592</x:v>
      </x:c>
      <x:c r="B133" s="14" t="d">
        <x:v>2026-09-30T00:00:00.000Z</x:v>
      </x:c>
      <x:c r="C133" s="15" t="str">
        <x:v>Credit card</x:v>
      </x:c>
      <x:c r="D133" s="15" t="str">
        <x:v>Other features, terms, or problems</x:v>
      </x:c>
      <x:c r="E133" s="15" t="str">
        <x:v>CAPITAL ONE FINANCIAL CORPORATION</x:v>
      </x:c>
      <x:c r="F133" s="15" t="str">
        <x:v>Unknown</x:v>
      </x:c>
      <x:c r="G133" s="15" t="str">
        <x:v>Yes</x:v>
      </x:c>
      <x:c r="H133" s="15" t="str">
        <x:v>In progress</x:v>
      </x:c>
      <x:c r="I133" s="15" t="str">
        <x:v>Web</x:v>
      </x:c>
      <x:c r="J133" s="16" t="d">
        <x:v>2026-09-30T00:00:00.000Z</x:v>
      </x:c>
      <x:c r="K133" s="15" t="str">
        <x:v>General-purpose credit card or charge card</x:v>
      </x:c>
      <x:c r="L133" s="15" t="str">
        <x:v>Problem with customer service</x:v>
      </x:c>
      <x:c r="M133" s="15" t="str">
        <x:f>_xlfn.XLOOKUP(C133,'Lookups'!$A$7:$A$8,'Lookups'!$B$7:$B$8,"Unmapped",0)</x:f>
        <x:v>Card operations</x:v>
      </x:c>
      <x:c r="N133" s="14" t="n">
        <x:f>DATE(YEAR(B133),MONTH(B133),1)</x:f>
        <x:v>46266</x:v>
      </x:c>
    </x:row>
    <x:row r="134" ht="55" customHeight="1">
      <x:c r="A134" s="13" t="str">
        <x:v>28654596</x:v>
      </x:c>
      <x:c r="B134" s="14" t="d">
        <x:v>2026-09-30T00:00:00.000Z</x:v>
      </x:c>
      <x:c r="C134" s="15" t="str">
        <x:v>Checking or savings account</x:v>
      </x:c>
      <x:c r="D134" s="15" t="str">
        <x:v>Opening an account</x:v>
      </x:c>
      <x:c r="E134" s="15" t="str">
        <x:v>BANK OF AMERICA, NATIONAL ASSOCIATION</x:v>
      </x:c>
      <x:c r="F134" s="15" t="str">
        <x:v>NY</x:v>
      </x:c>
      <x:c r="G134" s="15" t="str">
        <x:v>Yes</x:v>
      </x:c>
      <x:c r="H134" s="15" t="str">
        <x:v>Closed with explanation</x:v>
      </x:c>
      <x:c r="I134" s="15" t="str">
        <x:v>Web</x:v>
      </x:c>
      <x:c r="J134" s="16" t="d">
        <x:v>2026-09-30T00:00:00.000Z</x:v>
      </x:c>
      <x:c r="K134" s="15" t="str">
        <x:v>Checking account</x:v>
      </x:c>
      <x:c r="L134" s="15" t="str">
        <x:v>Unable to open an account</x:v>
      </x:c>
      <x:c r="M134" s="15" t="str">
        <x:f>_xlfn.XLOOKUP(C134,'Lookups'!$A$7:$A$8,'Lookups'!$B$7:$B$8,"Unmapped",0)</x:f>
        <x:v>Deposit operations</x:v>
      </x:c>
      <x:c r="N134" s="14" t="n">
        <x:f>DATE(YEAR(B134),MONTH(B134),1)</x:f>
        <x:v>46266</x:v>
      </x:c>
    </x:row>
    <x:row r="135" ht="55" customHeight="1">
      <x:c r="A135" s="13" t="str">
        <x:v>28654615</x:v>
      </x:c>
      <x:c r="B135" s="14" t="d">
        <x:v>2026-09-30T00:00:00.000Z</x:v>
      </x:c>
      <x:c r="C135" s="15" t="str">
        <x:v>Checking or savings account</x:v>
      </x:c>
      <x:c r="D135" s="15" t="str">
        <x:v>Problem with a lender or other company charging your account</x:v>
      </x:c>
      <x:c r="E135" s="15" t="str">
        <x:v>WELLS FARGO &amp; COMPANY</x:v>
      </x:c>
      <x:c r="F135" s="15" t="str">
        <x:v>AZ</x:v>
      </x:c>
      <x:c r="G135" s="15" t="str">
        <x:v>Yes</x:v>
      </x:c>
      <x:c r="H135" s="15" t="str">
        <x:v>Closed with explanation</x:v>
      </x:c>
      <x:c r="I135" s="15" t="str">
        <x:v>Web</x:v>
      </x:c>
      <x:c r="J135" s="16" t="d">
        <x:v>2026-09-30T00:00:00.000Z</x:v>
      </x:c>
      <x:c r="K135" s="15" t="str">
        <x:v>Checking account</x:v>
      </x:c>
      <x:c r="L135" s="15" t="str">
        <x:v>Money was taken from your account on the wrong day or for the wrong amount</x:v>
      </x:c>
      <x:c r="M135" s="15" t="str">
        <x:f>_xlfn.XLOOKUP(C135,'Lookups'!$A$7:$A$8,'Lookups'!$B$7:$B$8,"Unmapped",0)</x:f>
        <x:v>Deposit operations</x:v>
      </x:c>
      <x:c r="N135" s="14" t="n">
        <x:f>DATE(YEAR(B135),MONTH(B135),1)</x:f>
        <x:v>46266</x:v>
      </x:c>
    </x:row>
    <x:row r="136" ht="55" customHeight="1">
      <x:c r="A136" s="13" t="str">
        <x:v>28655285</x:v>
      </x:c>
      <x:c r="B136" s="14" t="d">
        <x:v>2026-09-30T00:00:00.000Z</x:v>
      </x:c>
      <x:c r="C136" s="15" t="str">
        <x:v>Credit card</x:v>
      </x:c>
      <x:c r="D136" s="15" t="str">
        <x:v>Problem with a purchase shown on your statement</x:v>
      </x:c>
      <x:c r="E136" s="15" t="str">
        <x:v>JPMORGAN CHASE &amp; CO.</x:v>
      </x:c>
      <x:c r="F136" s="15" t="str">
        <x:v>CA</x:v>
      </x:c>
      <x:c r="G136" s="15" t="str">
        <x:v>Yes</x:v>
      </x:c>
      <x:c r="H136" s="15" t="str">
        <x:v>Closed with explanation</x:v>
      </x:c>
      <x:c r="I136" s="15" t="str">
        <x:v>Web</x:v>
      </x:c>
      <x:c r="J136" s="16" t="d">
        <x:v>2026-09-30T00:00:00.000Z</x:v>
      </x:c>
      <x:c r="K136" s="15" t="str">
        <x:v>General-purpose credit card or charge card</x:v>
      </x:c>
      <x:c r="L136" s="15" t="str">
        <x:v>Credit card company isn't resolving a dispute about a purchase on your statement</x:v>
      </x:c>
      <x:c r="M136" s="15" t="str">
        <x:f>_xlfn.XLOOKUP(C136,'Lookups'!$A$7:$A$8,'Lookups'!$B$7:$B$8,"Unmapped",0)</x:f>
        <x:v>Card operations</x:v>
      </x:c>
      <x:c r="N136" s="14" t="n">
        <x:f>DATE(YEAR(B136),MONTH(B136),1)</x:f>
        <x:v>46266</x:v>
      </x:c>
    </x:row>
    <x:row r="137" ht="55" customHeight="1">
      <x:c r="A137" s="13" t="str">
        <x:v>28655303</x:v>
      </x:c>
      <x:c r="B137" s="14" t="d">
        <x:v>2026-09-30T00:00:00.000Z</x:v>
      </x:c>
      <x:c r="C137" s="15" t="str">
        <x:v>Credit card</x:v>
      </x:c>
      <x:c r="D137" s="15" t="str">
        <x:v>Fees or interest</x:v>
      </x:c>
      <x:c r="E137" s="15" t="str">
        <x:v>CITIBANK, N.A.</x:v>
      </x:c>
      <x:c r="F137" s="15" t="str">
        <x:v>FL</x:v>
      </x:c>
      <x:c r="G137" s="15" t="str">
        <x:v>Yes</x:v>
      </x:c>
      <x:c r="H137" s="15" t="str">
        <x:v>Closed with explanation</x:v>
      </x:c>
      <x:c r="I137" s="15" t="str">
        <x:v>Web</x:v>
      </x:c>
      <x:c r="J137" s="16" t="d">
        <x:v>2026-09-30T00:00:00.000Z</x:v>
      </x:c>
      <x:c r="K137" s="15" t="str">
        <x:v>Store credit card</x:v>
      </x:c>
      <x:c r="L137" s="15" t="str">
        <x:v>Charged too much interest</x:v>
      </x:c>
      <x:c r="M137" s="15" t="str">
        <x:f>_xlfn.XLOOKUP(C137,'Lookups'!$A$7:$A$8,'Lookups'!$B$7:$B$8,"Unmapped",0)</x:f>
        <x:v>Card operations</x:v>
      </x:c>
      <x:c r="N137" s="14" t="n">
        <x:f>DATE(YEAR(B137),MONTH(B137),1)</x:f>
        <x:v>46266</x:v>
      </x:c>
    </x:row>
    <x:row r="138" ht="55" customHeight="1">
      <x:c r="A138" s="13" t="str">
        <x:v>28656264</x:v>
      </x:c>
      <x:c r="B138" s="14" t="d">
        <x:v>2026-09-30T00:00:00.000Z</x:v>
      </x:c>
      <x:c r="C138" s="15" t="str">
        <x:v>Checking or savings account</x:v>
      </x:c>
      <x:c r="D138" s="15" t="str">
        <x:v>Problem with a lender or other company charging your account</x:v>
      </x:c>
      <x:c r="E138" s="15" t="str">
        <x:v>BANK OF AMERICA, NATIONAL ASSOCIATION</x:v>
      </x:c>
      <x:c r="F138" s="15" t="str">
        <x:v>TX</x:v>
      </x:c>
      <x:c r="G138" s="15" t="str">
        <x:v>Yes</x:v>
      </x:c>
      <x:c r="H138" s="15" t="str">
        <x:v>In progress</x:v>
      </x:c>
      <x:c r="I138" s="15" t="str">
        <x:v>Web</x:v>
      </x:c>
      <x:c r="J138" s="16" t="d">
        <x:v>2026-09-30T00:00:00.000Z</x:v>
      </x:c>
      <x:c r="K138" s="15" t="str">
        <x:v>Checking account</x:v>
      </x:c>
      <x:c r="L138" s="15" t="str">
        <x:v>Transaction was not authorized</x:v>
      </x:c>
      <x:c r="M138" s="15" t="str">
        <x:f>_xlfn.XLOOKUP(C138,'Lookups'!$A$7:$A$8,'Lookups'!$B$7:$B$8,"Unmapped",0)</x:f>
        <x:v>Deposit operations</x:v>
      </x:c>
      <x:c r="N138" s="14" t="n">
        <x:f>DATE(YEAR(B138),MONTH(B138),1)</x:f>
        <x:v>46266</x:v>
      </x:c>
    </x:row>
    <x:row r="139" ht="55" customHeight="1">
      <x:c r="A139" s="13" t="str">
        <x:v>28656294</x:v>
      </x:c>
      <x:c r="B139" s="14" t="d">
        <x:v>2026-09-30T00:00:00.000Z</x:v>
      </x:c>
      <x:c r="C139" s="15" t="str">
        <x:v>Credit card</x:v>
      </x:c>
      <x:c r="D139" s="15" t="str">
        <x:v>Getting a credit card</x:v>
      </x:c>
      <x:c r="E139" s="15" t="str">
        <x:v>AMERICAN EXPRESS COMPANY</x:v>
      </x:c>
      <x:c r="F139" s="15" t="str">
        <x:v>FL</x:v>
      </x:c>
      <x:c r="G139" s="15" t="str">
        <x:v>Yes</x:v>
      </x:c>
      <x:c r="H139" s="15" t="str">
        <x:v>Closed with explanation</x:v>
      </x:c>
      <x:c r="I139" s="15" t="str">
        <x:v>Web</x:v>
      </x:c>
      <x:c r="J139" s="16" t="d">
        <x:v>2026-09-30T00:00:00.000Z</x:v>
      </x:c>
      <x:c r="K139" s="15" t="str">
        <x:v>General-purpose credit card or charge card</x:v>
      </x:c>
      <x:c r="L139" s="15" t="str">
        <x:v>Delay in processing application</x:v>
      </x:c>
      <x:c r="M139" s="15" t="str">
        <x:f>_xlfn.XLOOKUP(C139,'Lookups'!$A$7:$A$8,'Lookups'!$B$7:$B$8,"Unmapped",0)</x:f>
        <x:v>Card operations</x:v>
      </x:c>
      <x:c r="N139" s="14" t="n">
        <x:f>DATE(YEAR(B139),MONTH(B139),1)</x:f>
        <x:v>46266</x:v>
      </x:c>
    </x:row>
    <x:row r="140" ht="55" customHeight="1">
      <x:c r="A140" s="13" t="str">
        <x:v>28656343</x:v>
      </x:c>
      <x:c r="B140" s="14" t="d">
        <x:v>2026-09-30T00:00:00.000Z</x:v>
      </x:c>
      <x:c r="C140" s="15" t="str">
        <x:v>Checking or savings account</x:v>
      </x:c>
      <x:c r="D140" s="15" t="str">
        <x:v>Managing an account</x:v>
      </x:c>
      <x:c r="E140" s="15" t="str">
        <x:v>CHARLES SCHWAB CORPORATION, THE</x:v>
      </x:c>
      <x:c r="F140" s="15" t="str">
        <x:v>WA</x:v>
      </x:c>
      <x:c r="G140" s="15" t="str">
        <x:v>Yes</x:v>
      </x:c>
      <x:c r="H140" s="15" t="str">
        <x:v>Closed with explanation</x:v>
      </x:c>
      <x:c r="I140" s="15" t="str">
        <x:v>Web</x:v>
      </x:c>
      <x:c r="J140" s="16" t="d">
        <x:v>2026-09-30T00:00:00.000Z</x:v>
      </x:c>
      <x:c r="K140" s="15" t="str">
        <x:v>Checking account</x:v>
      </x:c>
      <x:c r="L140" s="15" t="str">
        <x:v>Problem using a debit or ATM card</x:v>
      </x:c>
      <x:c r="M140" s="15" t="str">
        <x:f>_xlfn.XLOOKUP(C140,'Lookups'!$A$7:$A$8,'Lookups'!$B$7:$B$8,"Unmapped",0)</x:f>
        <x:v>Deposit operations</x:v>
      </x:c>
      <x:c r="N140" s="14" t="n">
        <x:f>DATE(YEAR(B140),MONTH(B140),1)</x:f>
        <x:v>46266</x:v>
      </x:c>
    </x:row>
    <x:row r="141" ht="55" customHeight="1">
      <x:c r="A141" s="13" t="str">
        <x:v>28656461</x:v>
      </x:c>
      <x:c r="B141" s="14" t="d">
        <x:v>2026-09-30T00:00:00.000Z</x:v>
      </x:c>
      <x:c r="C141" s="15" t="str">
        <x:v>Credit card</x:v>
      </x:c>
      <x:c r="D141" s="15" t="str">
        <x:v>Incorrect information on your report</x:v>
      </x:c>
      <x:c r="E141" s="15" t="str">
        <x:v>BANK OF AMERICA, NATIONAL ASSOCIATION</x:v>
      </x:c>
      <x:c r="F141" s="15" t="str">
        <x:v>WA</x:v>
      </x:c>
      <x:c r="G141" s="15" t="str">
        <x:v>Yes</x:v>
      </x:c>
      <x:c r="H141" s="15" t="str">
        <x:v>Closed with non-monetary relief</x:v>
      </x:c>
      <x:c r="I141" s="15" t="str">
        <x:v>Web</x:v>
      </x:c>
      <x:c r="J141" s="16" t="d">
        <x:v>2026-09-30T00:00:00.000Z</x:v>
      </x:c>
      <x:c r="K141" s="15" t="str">
        <x:v>General-purpose credit card or charge card</x:v>
      </x:c>
      <x:c r="L141" s="15" t="str">
        <x:v>Account information incorrect</x:v>
      </x:c>
      <x:c r="M141" s="15" t="str">
        <x:f>_xlfn.XLOOKUP(C141,'Lookups'!$A$7:$A$8,'Lookups'!$B$7:$B$8,"Unmapped",0)</x:f>
        <x:v>Card operations</x:v>
      </x:c>
      <x:c r="N141" s="14" t="n">
        <x:f>DATE(YEAR(B141),MONTH(B141),1)</x:f>
        <x:v>46266</x:v>
      </x:c>
    </x:row>
    <x:row r="142" ht="55" customHeight="1">
      <x:c r="A142" s="13" t="str">
        <x:v>28656546</x:v>
      </x:c>
      <x:c r="B142" s="14" t="d">
        <x:v>2026-09-30T00:00:00.000Z</x:v>
      </x:c>
      <x:c r="C142" s="15" t="str">
        <x:v>Checking or savings account</x:v>
      </x:c>
      <x:c r="D142" s="15" t="str">
        <x:v>Closing an account</x:v>
      </x:c>
      <x:c r="E142" s="15" t="str">
        <x:v>BANK OF AMERICA, NATIONAL ASSOCIATION</x:v>
      </x:c>
      <x:c r="F142" s="15" t="str">
        <x:v>AZ</x:v>
      </x:c>
      <x:c r="G142" s="15" t="str">
        <x:v>Yes</x:v>
      </x:c>
      <x:c r="H142" s="15" t="str">
        <x:v>In progress</x:v>
      </x:c>
      <x:c r="I142" s="15" t="str">
        <x:v>Web</x:v>
      </x:c>
      <x:c r="J142" s="16" t="d">
        <x:v>2026-09-30T00:00:00.000Z</x:v>
      </x:c>
      <x:c r="K142" s="15" t="str">
        <x:v>Checking account</x:v>
      </x:c>
      <x:c r="L142" s="15" t="str">
        <x:v>Company closed your account</x:v>
      </x:c>
      <x:c r="M142" s="15" t="str">
        <x:f>_xlfn.XLOOKUP(C142,'Lookups'!$A$7:$A$8,'Lookups'!$B$7:$B$8,"Unmapped",0)</x:f>
        <x:v>Deposit operations</x:v>
      </x:c>
      <x:c r="N142" s="14" t="n">
        <x:f>DATE(YEAR(B142),MONTH(B142),1)</x:f>
        <x:v>46266</x:v>
      </x:c>
    </x:row>
    <x:row r="143" ht="55" customHeight="1">
      <x:c r="A143" s="13" t="str">
        <x:v>28656847</x:v>
      </x:c>
      <x:c r="B143" s="14" t="d">
        <x:v>2026-09-30T00:00:00.000Z</x:v>
      </x:c>
      <x:c r="C143" s="15" t="str">
        <x:v>Credit card</x:v>
      </x:c>
      <x:c r="D143" s="15" t="str">
        <x:v>Fees or interest</x:v>
      </x:c>
      <x:c r="E143" s="15" t="str">
        <x:v>CITIBANK, N.A.</x:v>
      </x:c>
      <x:c r="F143" s="15" t="str">
        <x:v>FL</x:v>
      </x:c>
      <x:c r="G143" s="15" t="str">
        <x:v>Yes</x:v>
      </x:c>
      <x:c r="H143" s="15" t="str">
        <x:v>Closed with explanation</x:v>
      </x:c>
      <x:c r="I143" s="15" t="str">
        <x:v>Web</x:v>
      </x:c>
      <x:c r="J143" s="16" t="d">
        <x:v>2026-09-30T00:00:00.000Z</x:v>
      </x:c>
      <x:c r="K143" s="15" t="str">
        <x:v>Store credit card</x:v>
      </x:c>
      <x:c r="L143" s="15" t="str">
        <x:v>Charged too much interest</x:v>
      </x:c>
      <x:c r="M143" s="15" t="str">
        <x:f>_xlfn.XLOOKUP(C143,'Lookups'!$A$7:$A$8,'Lookups'!$B$7:$B$8,"Unmapped",0)</x:f>
        <x:v>Card operations</x:v>
      </x:c>
      <x:c r="N143" s="14" t="n">
        <x:f>DATE(YEAR(B143),MONTH(B143),1)</x:f>
        <x:v>46266</x:v>
      </x:c>
    </x:row>
    <x:row r="144" ht="55" customHeight="1">
      <x:c r="A144" s="13" t="str">
        <x:v>28657259</x:v>
      </x:c>
      <x:c r="B144" s="14" t="d">
        <x:v>2026-09-30T00:00:00.000Z</x:v>
      </x:c>
      <x:c r="C144" s="15" t="str">
        <x:v>Checking or savings account</x:v>
      </x:c>
      <x:c r="D144" s="15" t="str">
        <x:v>Managing an account</x:v>
      </x:c>
      <x:c r="E144" s="15" t="str">
        <x:v>JPMORGAN CHASE &amp; CO.</x:v>
      </x:c>
      <x:c r="F144" s="15" t="str">
        <x:v>CA</x:v>
      </x:c>
      <x:c r="G144" s="15" t="str">
        <x:v>Yes</x:v>
      </x:c>
      <x:c r="H144" s="15" t="str">
        <x:v>Closed with explanation</x:v>
      </x:c>
      <x:c r="I144" s="15" t="str">
        <x:v>Web</x:v>
      </x:c>
      <x:c r="J144" s="16" t="d">
        <x:v>2026-09-30T00:00:00.000Z</x:v>
      </x:c>
      <x:c r="K144" s="15" t="str">
        <x:v>Other banking product or service</x:v>
      </x:c>
      <x:c r="L144" s="15" t="str">
        <x:v>Funds not handled or disbursed as instructed</x:v>
      </x:c>
      <x:c r="M144" s="15" t="str">
        <x:f>_xlfn.XLOOKUP(C144,'Lookups'!$A$7:$A$8,'Lookups'!$B$7:$B$8,"Unmapped",0)</x:f>
        <x:v>Deposit operations</x:v>
      </x:c>
      <x:c r="N144" s="14" t="n">
        <x:f>DATE(YEAR(B144),MONTH(B144),1)</x:f>
        <x:v>46266</x:v>
      </x:c>
    </x:row>
    <x:row r="145" ht="55" customHeight="1">
      <x:c r="A145" s="13" t="str">
        <x:v>28657464</x:v>
      </x:c>
      <x:c r="B145" s="14" t="d">
        <x:v>2026-09-30T00:00:00.000Z</x:v>
      </x:c>
      <x:c r="C145" s="15" t="str">
        <x:v>Checking or savings account</x:v>
      </x:c>
      <x:c r="D145" s="15" t="str">
        <x:v>Managing an account</x:v>
      </x:c>
      <x:c r="E145" s="15" t="str">
        <x:v>SOFI TECHNOLOGIES, INC.</x:v>
      </x:c>
      <x:c r="F145" s="15" t="str">
        <x:v>CA</x:v>
      </x:c>
      <x:c r="G145" s="15" t="str">
        <x:v>Yes</x:v>
      </x:c>
      <x:c r="H145" s="15" t="str">
        <x:v>Closed with explanation</x:v>
      </x:c>
      <x:c r="I145" s="15" t="str">
        <x:v>Web</x:v>
      </x:c>
      <x:c r="J145" s="16" t="d">
        <x:v>2026-09-30T00:00:00.000Z</x:v>
      </x:c>
      <x:c r="K145" s="15" t="str">
        <x:v>Savings account</x:v>
      </x:c>
      <x:c r="L145" s="15" t="str">
        <x:v>Funds not handled or disbursed as instructed</x:v>
      </x:c>
      <x:c r="M145" s="15" t="str">
        <x:f>_xlfn.XLOOKUP(C145,'Lookups'!$A$7:$A$8,'Lookups'!$B$7:$B$8,"Unmapped",0)</x:f>
        <x:v>Deposit operations</x:v>
      </x:c>
      <x:c r="N145" s="14" t="n">
        <x:f>DATE(YEAR(B145),MONTH(B145),1)</x:f>
        <x:v>46266</x:v>
      </x:c>
    </x:row>
    <x:row r="146" ht="55" customHeight="1">
      <x:c r="A146" s="13" t="str">
        <x:v>28658048</x:v>
      </x:c>
      <x:c r="B146" s="14" t="d">
        <x:v>2026-09-30T00:00:00.000Z</x:v>
      </x:c>
      <x:c r="C146" s="15" t="str">
        <x:v>Credit card</x:v>
      </x:c>
      <x:c r="D146" s="15" t="str">
        <x:v>Problem with a purchase shown on your statement</x:v>
      </x:c>
      <x:c r="E146" s="15" t="str">
        <x:v>GOLDMAN SACHS BANK USA</x:v>
      </x:c>
      <x:c r="F146" s="15" t="str">
        <x:v>CA</x:v>
      </x:c>
      <x:c r="G146" s="15" t="str">
        <x:v>Yes</x:v>
      </x:c>
      <x:c r="H146" s="15" t="str">
        <x:v>Closed with explanation</x:v>
      </x:c>
      <x:c r="I146" s="15" t="str">
        <x:v>Web</x:v>
      </x:c>
      <x:c r="J146" s="16" t="d">
        <x:v>2026-09-30T00:00:00.000Z</x:v>
      </x:c>
      <x:c r="K146" s="15" t="str">
        <x:v>General-purpose credit card or charge card</x:v>
      </x:c>
      <x:c r="L146" s="15" t="str">
        <x:v>Credit card company isn't resolving a dispute about a purchase on your statement</x:v>
      </x:c>
      <x:c r="M146" s="15" t="str">
        <x:f>_xlfn.XLOOKUP(C146,'Lookups'!$A$7:$A$8,'Lookups'!$B$7:$B$8,"Unmapped",0)</x:f>
        <x:v>Card operations</x:v>
      </x:c>
      <x:c r="N146" s="14" t="n">
        <x:f>DATE(YEAR(B146),MONTH(B146),1)</x:f>
        <x:v>46266</x:v>
      </x:c>
    </x:row>
    <x:row r="147" ht="55" customHeight="1">
      <x:c r="A147" s="13" t="str">
        <x:v>28658223</x:v>
      </x:c>
      <x:c r="B147" s="14" t="d">
        <x:v>2026-09-30T00:00:00.000Z</x:v>
      </x:c>
      <x:c r="C147" s="15" t="str">
        <x:v>Checking or savings account</x:v>
      </x:c>
      <x:c r="D147" s="15" t="str">
        <x:v>Managing an account</x:v>
      </x:c>
      <x:c r="E147" s="15" t="str">
        <x:v>BMO BANK NATIONAL ASSOCIATION</x:v>
      </x:c>
      <x:c r="F147" s="15" t="str">
        <x:v>CA</x:v>
      </x:c>
      <x:c r="G147" s="15" t="str">
        <x:v>Yes</x:v>
      </x:c>
      <x:c r="H147" s="15" t="str">
        <x:v>Closed with non-monetary relief</x:v>
      </x:c>
      <x:c r="I147" s="15" t="str">
        <x:v>Web</x:v>
      </x:c>
      <x:c r="J147" s="16" t="d">
        <x:v>2026-09-30T00:00:00.000Z</x:v>
      </x:c>
      <x:c r="K147" s="15" t="str">
        <x:v>Other banking product or service</x:v>
      </x:c>
      <x:c r="L147" s="15" t="str">
        <x:v>Problem accessing account</x:v>
      </x:c>
      <x:c r="M147" s="15" t="str">
        <x:f>_xlfn.XLOOKUP(C147,'Lookups'!$A$7:$A$8,'Lookups'!$B$7:$B$8,"Unmapped",0)</x:f>
        <x:v>Deposit operations</x:v>
      </x:c>
      <x:c r="N147" s="14" t="n">
        <x:f>DATE(YEAR(B147),MONTH(B147),1)</x:f>
        <x:v>46266</x:v>
      </x:c>
    </x:row>
    <x:row r="148" ht="55" customHeight="1">
      <x:c r="A148" s="13" t="str">
        <x:v>28658337</x:v>
      </x:c>
      <x:c r="B148" s="14" t="d">
        <x:v>2026-09-30T00:00:00.000Z</x:v>
      </x:c>
      <x:c r="C148" s="15" t="str">
        <x:v>Checking or savings account</x:v>
      </x:c>
      <x:c r="D148" s="15" t="str">
        <x:v>Managing an account</x:v>
      </x:c>
      <x:c r="E148" s="15" t="str">
        <x:v>JPMORGAN CHASE &amp; CO.</x:v>
      </x:c>
      <x:c r="F148" s="15" t="str">
        <x:v>TX</x:v>
      </x:c>
      <x:c r="G148" s="15" t="str">
        <x:v>Yes</x:v>
      </x:c>
      <x:c r="H148" s="15" t="str">
        <x:v>Closed with explanation</x:v>
      </x:c>
      <x:c r="I148" s="15" t="str">
        <x:v>Web</x:v>
      </x:c>
      <x:c r="J148" s="16" t="d">
        <x:v>2026-09-30T00:00:00.000Z</x:v>
      </x:c>
      <x:c r="K148" s="15" t="str">
        <x:v>Checking account</x:v>
      </x:c>
      <x:c r="L148" s="15" t="str">
        <x:v>Deposits and withdrawals</x:v>
      </x:c>
      <x:c r="M148" s="15" t="str">
        <x:f>_xlfn.XLOOKUP(C148,'Lookups'!$A$7:$A$8,'Lookups'!$B$7:$B$8,"Unmapped",0)</x:f>
        <x:v>Deposit operations</x:v>
      </x:c>
      <x:c r="N148" s="14" t="n">
        <x:f>DATE(YEAR(B148),MONTH(B148),1)</x:f>
        <x:v>46266</x:v>
      </x:c>
    </x:row>
    <x:row r="149" ht="55" customHeight="1">
      <x:c r="A149" s="13" t="str">
        <x:v>28658339</x:v>
      </x:c>
      <x:c r="B149" s="14" t="d">
        <x:v>2026-09-30T00:00:00.000Z</x:v>
      </x:c>
      <x:c r="C149" s="15" t="str">
        <x:v>Checking or savings account</x:v>
      </x:c>
      <x:c r="D149" s="15" t="str">
        <x:v>Managing an account</x:v>
      </x:c>
      <x:c r="E149" s="15" t="str">
        <x:v>WELLS FARGO &amp; COMPANY</x:v>
      </x:c>
      <x:c r="F149" s="15" t="str">
        <x:v>CA</x:v>
      </x:c>
      <x:c r="G149" s="15" t="str">
        <x:v>Yes</x:v>
      </x:c>
      <x:c r="H149" s="15" t="str">
        <x:v>In progress</x:v>
      </x:c>
      <x:c r="I149" s="15" t="str">
        <x:v>Web</x:v>
      </x:c>
      <x:c r="J149" s="16" t="d">
        <x:v>2026-09-30T00:00:00.000Z</x:v>
      </x:c>
      <x:c r="K149" s="15" t="str">
        <x:v>Other banking product or service</x:v>
      </x:c>
      <x:c r="L149" s="15" t="str">
        <x:v>Problem accessing account</x:v>
      </x:c>
      <x:c r="M149" s="15" t="str">
        <x:f>_xlfn.XLOOKUP(C149,'Lookups'!$A$7:$A$8,'Lookups'!$B$7:$B$8,"Unmapped",0)</x:f>
        <x:v>Deposit operations</x:v>
      </x:c>
      <x:c r="N149" s="14" t="n">
        <x:f>DATE(YEAR(B149),MONTH(B149),1)</x:f>
        <x:v>46266</x:v>
      </x:c>
    </x:row>
    <x:row r="150" ht="55" customHeight="1">
      <x:c r="A150" s="13" t="str">
        <x:v>28658818</x:v>
      </x:c>
      <x:c r="B150" s="14" t="d">
        <x:v>2026-09-30T00:00:00.000Z</x:v>
      </x:c>
      <x:c r="C150" s="15" t="str">
        <x:v>Credit card</x:v>
      </x:c>
      <x:c r="D150" s="15" t="str">
        <x:v>Problem with a purchase shown on your statement</x:v>
      </x:c>
      <x:c r="E150" s="15" t="str">
        <x:v>SYNCHRONY FINANCIAL</x:v>
      </x:c>
      <x:c r="F150" s="15" t="str">
        <x:v>MN</x:v>
      </x:c>
      <x:c r="G150" s="15" t="str">
        <x:v>Yes</x:v>
      </x:c>
      <x:c r="H150" s="15" t="str">
        <x:v>In progress</x:v>
      </x:c>
      <x:c r="I150" s="15" t="str">
        <x:v>Web</x:v>
      </x:c>
      <x:c r="J150" s="16" t="d">
        <x:v>2026-09-30T00:00:00.000Z</x:v>
      </x:c>
      <x:c r="K150" s="15" t="str">
        <x:v>Store credit card</x:v>
      </x:c>
      <x:c r="L150" s="15" t="str">
        <x:v>Credit card company isn't resolving a dispute about a purchase on your statement</x:v>
      </x:c>
      <x:c r="M150" s="15" t="str">
        <x:f>_xlfn.XLOOKUP(C150,'Lookups'!$A$7:$A$8,'Lookups'!$B$7:$B$8,"Unmapped",0)</x:f>
        <x:v>Card operations</x:v>
      </x:c>
      <x:c r="N150" s="14" t="n">
        <x:f>DATE(YEAR(B150),MONTH(B150),1)</x:f>
        <x:v>46266</x:v>
      </x:c>
    </x:row>
    <x:row r="151" ht="55" customHeight="1">
      <x:c r="A151" s="13" t="str">
        <x:v>28659777</x:v>
      </x:c>
      <x:c r="B151" s="14" t="d">
        <x:v>2026-09-30T00:00:00.000Z</x:v>
      </x:c>
      <x:c r="C151" s="15" t="str">
        <x:v>Credit card</x:v>
      </x:c>
      <x:c r="D151" s="15" t="str">
        <x:v>Problem when making payments</x:v>
      </x:c>
      <x:c r="E151" s="15" t="str">
        <x:v>CAPITAL ONE FINANCIAL CORPORATION</x:v>
      </x:c>
      <x:c r="F151" s="15" t="str">
        <x:v>OH</x:v>
      </x:c>
      <x:c r="G151" s="15" t="str">
        <x:v>Yes</x:v>
      </x:c>
      <x:c r="H151" s="15" t="str">
        <x:v>Closed with explanation</x:v>
      </x:c>
      <x:c r="I151" s="15" t="str">
        <x:v>Web</x:v>
      </x:c>
      <x:c r="J151" s="16" t="d">
        <x:v>2026-09-30T00:00:00.000Z</x:v>
      </x:c>
      <x:c r="K151" s="15" t="str">
        <x:v>General-purpose credit card or charge card</x:v>
      </x:c>
      <x:c r="L151" s="15" t="str">
        <x:v>Problem during payment process</x:v>
      </x:c>
      <x:c r="M151" s="15" t="str">
        <x:f>_xlfn.XLOOKUP(C151,'Lookups'!$A$7:$A$8,'Lookups'!$B$7:$B$8,"Unmapped",0)</x:f>
        <x:v>Card operations</x:v>
      </x:c>
      <x:c r="N151" s="14" t="n">
        <x:f>DATE(YEAR(B151),MONTH(B151),1)</x:f>
        <x:v>46266</x:v>
      </x:c>
    </x:row>
    <x:row r="152" ht="55" customHeight="1">
      <x:c r="A152" s="13" t="str">
        <x:v>28660193</x:v>
      </x:c>
      <x:c r="B152" s="14" t="d">
        <x:v>2026-09-30T00:00:00.000Z</x:v>
      </x:c>
      <x:c r="C152" s="15" t="str">
        <x:v>Credit card</x:v>
      </x:c>
      <x:c r="D152" s="15" t="str">
        <x:v>Other features, terms, or problems</x:v>
      </x:c>
      <x:c r="E152" s="15" t="str">
        <x:v>JPMORGAN CHASE &amp; CO.</x:v>
      </x:c>
      <x:c r="F152" s="15" t="str">
        <x:v>CA</x:v>
      </x:c>
      <x:c r="G152" s="15" t="str">
        <x:v>Yes</x:v>
      </x:c>
      <x:c r="H152" s="15" t="str">
        <x:v>Closed with non-monetary relief</x:v>
      </x:c>
      <x:c r="I152" s="15" t="str">
        <x:v>Web</x:v>
      </x:c>
      <x:c r="J152" s="16" t="d">
        <x:v>2026-09-30T00:00:00.000Z</x:v>
      </x:c>
      <x:c r="K152" s="15" t="str">
        <x:v>General-purpose credit card or charge card</x:v>
      </x:c>
      <x:c r="L152" s="15" t="str">
        <x:v>Problem with rewards from credit card</x:v>
      </x:c>
      <x:c r="M152" s="15" t="str">
        <x:f>_xlfn.XLOOKUP(C152,'Lookups'!$A$7:$A$8,'Lookups'!$B$7:$B$8,"Unmapped",0)</x:f>
        <x:v>Card operations</x:v>
      </x:c>
      <x:c r="N152" s="14" t="n">
        <x:f>DATE(YEAR(B152),MONTH(B152),1)</x:f>
        <x:v>46266</x:v>
      </x:c>
    </x:row>
    <x:row r="153" ht="55" customHeight="1">
      <x:c r="A153" s="13" t="str">
        <x:v>28660199</x:v>
      </x:c>
      <x:c r="B153" s="14" t="d">
        <x:v>2026-09-30T00:00:00.000Z</x:v>
      </x:c>
      <x:c r="C153" s="15" t="str">
        <x:v>Checking or savings account</x:v>
      </x:c>
      <x:c r="D153" s="15" t="str">
        <x:v>Managing an account</x:v>
      </x:c>
      <x:c r="E153" s="15" t="str">
        <x:v>WELLS FARGO &amp; COMPANY</x:v>
      </x:c>
      <x:c r="F153" s="15" t="str">
        <x:v>TX</x:v>
      </x:c>
      <x:c r="G153" s="15" t="str">
        <x:v>Yes</x:v>
      </x:c>
      <x:c r="H153" s="15" t="str">
        <x:v>In progress</x:v>
      </x:c>
      <x:c r="I153" s="15" t="str">
        <x:v>Web</x:v>
      </x:c>
      <x:c r="J153" s="16" t="d">
        <x:v>2026-09-30T00:00:00.000Z</x:v>
      </x:c>
      <x:c r="K153" s="15" t="str">
        <x:v>Checking account</x:v>
      </x:c>
      <x:c r="L153" s="15" t="str">
        <x:v>Banking errors</x:v>
      </x:c>
      <x:c r="M153" s="15" t="str">
        <x:f>_xlfn.XLOOKUP(C153,'Lookups'!$A$7:$A$8,'Lookups'!$B$7:$B$8,"Unmapped",0)</x:f>
        <x:v>Deposit operations</x:v>
      </x:c>
      <x:c r="N153" s="14" t="n">
        <x:f>DATE(YEAR(B153),MONTH(B153),1)</x:f>
        <x:v>46266</x:v>
      </x:c>
    </x:row>
    <x:row r="154" ht="55" customHeight="1">
      <x:c r="A154" s="13" t="str">
        <x:v>28661359</x:v>
      </x:c>
      <x:c r="B154" s="14" t="d">
        <x:v>2026-09-30T00:00:00.000Z</x:v>
      </x:c>
      <x:c r="C154" s="15" t="str">
        <x:v>Checking or savings account</x:v>
      </x:c>
      <x:c r="D154" s="15" t="str">
        <x:v>Managing an account</x:v>
      </x:c>
      <x:c r="E154" s="15" t="str">
        <x:v>HUNTINGTON NATIONAL BANK, THE</x:v>
      </x:c>
      <x:c r="F154" s="15" t="str">
        <x:v>WV</x:v>
      </x:c>
      <x:c r="G154" s="15" t="str">
        <x:v>Yes</x:v>
      </x:c>
      <x:c r="H154" s="15" t="str">
        <x:v>Closed with explanation</x:v>
      </x:c>
      <x:c r="I154" s="15" t="str">
        <x:v>Web</x:v>
      </x:c>
      <x:c r="J154" s="16" t="d">
        <x:v>2026-09-30T00:00:00.000Z</x:v>
      </x:c>
      <x:c r="K154" s="15" t="str">
        <x:v>Checking account</x:v>
      </x:c>
      <x:c r="L154" s="15" t="str">
        <x:v>Problem making or receiving payments</x:v>
      </x:c>
      <x:c r="M154" s="15" t="str">
        <x:f>_xlfn.XLOOKUP(C154,'Lookups'!$A$7:$A$8,'Lookups'!$B$7:$B$8,"Unmapped",0)</x:f>
        <x:v>Deposit operations</x:v>
      </x:c>
      <x:c r="N154" s="14" t="n">
        <x:f>DATE(YEAR(B154),MONTH(B154),1)</x:f>
        <x:v>46266</x:v>
      </x:c>
    </x:row>
    <x:row r="155" ht="55" customHeight="1">
      <x:c r="A155" s="13" t="str">
        <x:v>28661568</x:v>
      </x:c>
      <x:c r="B155" s="14" t="d">
        <x:v>2026-09-30T00:00:00.000Z</x:v>
      </x:c>
      <x:c r="C155" s="15" t="str">
        <x:v>Credit card</x:v>
      </x:c>
      <x:c r="D155" s="15" t="str">
        <x:v>Problem with a purchase shown on your statement</x:v>
      </x:c>
      <x:c r="E155" s="15" t="str">
        <x:v>CITIBANK, N.A.</x:v>
      </x:c>
      <x:c r="F155" s="15" t="str">
        <x:v>FL</x:v>
      </x:c>
      <x:c r="G155" s="15" t="str">
        <x:v>Yes</x:v>
      </x:c>
      <x:c r="H155" s="15" t="str">
        <x:v>Closed with explanation</x:v>
      </x:c>
      <x:c r="I155" s="15" t="str">
        <x:v>Web</x:v>
      </x:c>
      <x:c r="J155" s="16" t="d">
        <x:v>2026-09-30T00:00:00.000Z</x:v>
      </x:c>
      <x:c r="K155" s="15" t="str">
        <x:v>Store credit card</x:v>
      </x:c>
      <x:c r="L155" s="15" t="str">
        <x:v>Credit card company isn't resolving a dispute about a purchase on your statement</x:v>
      </x:c>
      <x:c r="M155" s="15" t="str">
        <x:f>_xlfn.XLOOKUP(C155,'Lookups'!$A$7:$A$8,'Lookups'!$B$7:$B$8,"Unmapped",0)</x:f>
        <x:v>Card operations</x:v>
      </x:c>
      <x:c r="N155" s="14" t="n">
        <x:f>DATE(YEAR(B155),MONTH(B155),1)</x:f>
        <x:v>46266</x:v>
      </x:c>
    </x:row>
    <x:row r="156" ht="55" customHeight="1">
      <x:c r="A156" s="13" t="str">
        <x:v>28662246</x:v>
      </x:c>
      <x:c r="B156" s="14" t="d">
        <x:v>2026-09-30T00:00:00.000Z</x:v>
      </x:c>
      <x:c r="C156" s="15" t="str">
        <x:v>Checking or savings account</x:v>
      </x:c>
      <x:c r="D156" s="15" t="str">
        <x:v>Managing an account</x:v>
      </x:c>
      <x:c r="E156" s="15" t="str">
        <x:v>Credit Karma, LLC</x:v>
      </x:c>
      <x:c r="F156" s="15" t="str">
        <x:v>LA</x:v>
      </x:c>
      <x:c r="G156" s="15" t="str">
        <x:v>Yes</x:v>
      </x:c>
      <x:c r="H156" s="15" t="str">
        <x:v>Closed with explanation</x:v>
      </x:c>
      <x:c r="I156" s="15" t="str">
        <x:v>Web</x:v>
      </x:c>
      <x:c r="J156" s="16" t="d">
        <x:v>2026-09-30T00:00:00.000Z</x:v>
      </x:c>
      <x:c r="K156" s="15" t="str">
        <x:v>Checking account</x:v>
      </x:c>
      <x:c r="L156" s="15" t="str">
        <x:v>Problem accessing account</x:v>
      </x:c>
      <x:c r="M156" s="15" t="str">
        <x:f>_xlfn.XLOOKUP(C156,'Lookups'!$A$7:$A$8,'Lookups'!$B$7:$B$8,"Unmapped",0)</x:f>
        <x:v>Deposit operations</x:v>
      </x:c>
      <x:c r="N156" s="14" t="n">
        <x:f>DATE(YEAR(B156),MONTH(B156),1)</x:f>
        <x:v>46266</x:v>
      </x:c>
    </x:row>
    <x:row r="157" ht="55" customHeight="1">
      <x:c r="A157" s="13" t="str">
        <x:v>28663003</x:v>
      </x:c>
      <x:c r="B157" s="14" t="d">
        <x:v>2026-09-30T00:00:00.000Z</x:v>
      </x:c>
      <x:c r="C157" s="15" t="str">
        <x:v>Checking or savings account</x:v>
      </x:c>
      <x:c r="D157" s="15" t="str">
        <x:v>Problem with a lender or other company charging your account</x:v>
      </x:c>
      <x:c r="E157" s="15" t="str">
        <x:v>HUNTINGTON NATIONAL BANK, THE</x:v>
      </x:c>
      <x:c r="F157" s="15" t="str">
        <x:v>MI</x:v>
      </x:c>
      <x:c r="G157" s="15" t="str">
        <x:v>Yes</x:v>
      </x:c>
      <x:c r="H157" s="15" t="str">
        <x:v>In progress</x:v>
      </x:c>
      <x:c r="I157" s="15" t="str">
        <x:v>Web</x:v>
      </x:c>
      <x:c r="J157" s="16" t="d">
        <x:v>2026-09-30T00:00:00.000Z</x:v>
      </x:c>
      <x:c r="K157" s="15" t="str">
        <x:v>Checking account</x:v>
      </x:c>
      <x:c r="L157" s="15" t="str">
        <x:v>Transaction was not authorized</x:v>
      </x:c>
      <x:c r="M157" s="15" t="str">
        <x:f>_xlfn.XLOOKUP(C157,'Lookups'!$A$7:$A$8,'Lookups'!$B$7:$B$8,"Unmapped",0)</x:f>
        <x:v>Deposit operations</x:v>
      </x:c>
      <x:c r="N157" s="14" t="n">
        <x:f>DATE(YEAR(B157),MONTH(B157),1)</x:f>
        <x:v>46266</x:v>
      </x:c>
    </x:row>
    <x:row r="158" ht="55" customHeight="1">
      <x:c r="A158" s="13" t="str">
        <x:v>28663057</x:v>
      </x:c>
      <x:c r="B158" s="14" t="d">
        <x:v>2026-09-30T00:00:00.000Z</x:v>
      </x:c>
      <x:c r="C158" s="15" t="str">
        <x:v>Checking or savings account</x:v>
      </x:c>
      <x:c r="D158" s="15" t="str">
        <x:v>Managing an account</x:v>
      </x:c>
      <x:c r="E158" s="15" t="str">
        <x:v>KEYCORP</x:v>
      </x:c>
      <x:c r="F158" s="15" t="str">
        <x:v>TN</x:v>
      </x:c>
      <x:c r="G158" s="15" t="str">
        <x:v>Yes</x:v>
      </x:c>
      <x:c r="H158" s="15" t="str">
        <x:v>In progress</x:v>
      </x:c>
      <x:c r="I158" s="15" t="str">
        <x:v>Web</x:v>
      </x:c>
      <x:c r="J158" s="16" t="d">
        <x:v>2026-09-30T00:00:00.000Z</x:v>
      </x:c>
      <x:c r="K158" s="15" t="str">
        <x:v>Savings account</x:v>
      </x:c>
      <x:c r="L158" s="15" t="str">
        <x:v>Deposits and withdrawals</x:v>
      </x:c>
      <x:c r="M158" s="15" t="str">
        <x:f>_xlfn.XLOOKUP(C158,'Lookups'!$A$7:$A$8,'Lookups'!$B$7:$B$8,"Unmapped",0)</x:f>
        <x:v>Deposit operations</x:v>
      </x:c>
      <x:c r="N158" s="14" t="n">
        <x:f>DATE(YEAR(B158),MONTH(B158),1)</x:f>
        <x:v>46266</x:v>
      </x:c>
    </x:row>
    <x:row r="159" ht="55" customHeight="1">
      <x:c r="A159" s="13" t="str">
        <x:v>28663112</x:v>
      </x:c>
      <x:c r="B159" s="14" t="d">
        <x:v>2026-09-30T00:00:00.000Z</x:v>
      </x:c>
      <x:c r="C159" s="15" t="str">
        <x:v>Credit card</x:v>
      </x:c>
      <x:c r="D159" s="15" t="str">
        <x:v>Problem with a purchase shown on your statement</x:v>
      </x:c>
      <x:c r="E159" s="15" t="str">
        <x:v>CAPITAL ONE FINANCIAL CORPORATION</x:v>
      </x:c>
      <x:c r="F159" s="15" t="str">
        <x:v>GA</x:v>
      </x:c>
      <x:c r="G159" s="15" t="str">
        <x:v>Yes</x:v>
      </x:c>
      <x:c r="H159" s="15" t="str">
        <x:v>Closed with explanation</x:v>
      </x:c>
      <x:c r="I159" s="15" t="str">
        <x:v>Web</x:v>
      </x:c>
      <x:c r="J159" s="16" t="d">
        <x:v>2026-09-30T00:00:00.000Z</x:v>
      </x:c>
      <x:c r="K159" s="15" t="str">
        <x:v>General-purpose credit card or charge card</x:v>
      </x:c>
      <x:c r="L159" s="15" t="str">
        <x:v>Credit card company isn't resolving a dispute about a purchase on your statement</x:v>
      </x:c>
      <x:c r="M159" s="15" t="str">
        <x:f>_xlfn.XLOOKUP(C159,'Lookups'!$A$7:$A$8,'Lookups'!$B$7:$B$8,"Unmapped",0)</x:f>
        <x:v>Card operations</x:v>
      </x:c>
      <x:c r="N159" s="14" t="n">
        <x:f>DATE(YEAR(B159),MONTH(B159),1)</x:f>
        <x:v>46266</x:v>
      </x:c>
    </x:row>
    <x:row r="160" ht="55" customHeight="1">
      <x:c r="A160" s="13" t="str">
        <x:v>28663424</x:v>
      </x:c>
      <x:c r="B160" s="14" t="d">
        <x:v>2026-09-30T00:00:00.000Z</x:v>
      </x:c>
      <x:c r="C160" s="15" t="str">
        <x:v>Credit card</x:v>
      </x:c>
      <x:c r="D160" s="15" t="str">
        <x:v>Fees or interest</x:v>
      </x:c>
      <x:c r="E160" s="15" t="str">
        <x:v>Bread Financial Holdings, Inc.</x:v>
      </x:c>
      <x:c r="F160" s="15" t="str">
        <x:v>IL</x:v>
      </x:c>
      <x:c r="G160" s="15" t="str">
        <x:v>Yes</x:v>
      </x:c>
      <x:c r="H160" s="15" t="str">
        <x:v>Closed with explanation</x:v>
      </x:c>
      <x:c r="I160" s="15" t="str">
        <x:v>Web</x:v>
      </x:c>
      <x:c r="J160" s="16" t="d">
        <x:v>2026-09-30T00:00:00.000Z</x:v>
      </x:c>
      <x:c r="K160" s="15" t="str">
        <x:v>Store credit card</x:v>
      </x:c>
      <x:c r="L160" s="15" t="str">
        <x:v>Charged too much interest</x:v>
      </x:c>
      <x:c r="M160" s="15" t="str">
        <x:f>_xlfn.XLOOKUP(C160,'Lookups'!$A$7:$A$8,'Lookups'!$B$7:$B$8,"Unmapped",0)</x:f>
        <x:v>Card operations</x:v>
      </x:c>
      <x:c r="N160" s="14" t="n">
        <x:f>DATE(YEAR(B160),MONTH(B160),1)</x:f>
        <x:v>46266</x:v>
      </x:c>
    </x:row>
    <x:row r="161" ht="55" customHeight="1">
      <x:c r="A161" s="13" t="str">
        <x:v>28664724</x:v>
      </x:c>
      <x:c r="B161" s="14" t="d">
        <x:v>2026-09-30T00:00:00.000Z</x:v>
      </x:c>
      <x:c r="C161" s="15" t="str">
        <x:v>Checking or savings account</x:v>
      </x:c>
      <x:c r="D161" s="15" t="str">
        <x:v>Managing an account</x:v>
      </x:c>
      <x:c r="E161" s="15" t="str">
        <x:v>TRUIST FINANCIAL CORPORATION</x:v>
      </x:c>
      <x:c r="F161" s="15" t="str">
        <x:v>NC</x:v>
      </x:c>
      <x:c r="G161" s="15" t="str">
        <x:v>Yes</x:v>
      </x:c>
      <x:c r="H161" s="15" t="str">
        <x:v>In progress</x:v>
      </x:c>
      <x:c r="I161" s="15" t="str">
        <x:v>Web</x:v>
      </x:c>
      <x:c r="J161" s="16" t="d">
        <x:v>2026-09-30T00:00:00.000Z</x:v>
      </x:c>
      <x:c r="K161" s="15" t="str">
        <x:v>Checking account</x:v>
      </x:c>
      <x:c r="L161" s="15" t="str">
        <x:v>Funds not handled or disbursed as instructed</x:v>
      </x:c>
      <x:c r="M161" s="15" t="str">
        <x:f>_xlfn.XLOOKUP(C161,'Lookups'!$A$7:$A$8,'Lookups'!$B$7:$B$8,"Unmapped",0)</x:f>
        <x:v>Deposit operations</x:v>
      </x:c>
      <x:c r="N161" s="14" t="n">
        <x:f>DATE(YEAR(B161),MONTH(B161),1)</x:f>
        <x:v>46266</x:v>
      </x:c>
    </x:row>
    <x:row r="162" ht="55" customHeight="1">
      <x:c r="A162" s="13" t="str">
        <x:v>28664767</x:v>
      </x:c>
      <x:c r="B162" s="14" t="d">
        <x:v>2026-09-30T00:00:00.000Z</x:v>
      </x:c>
      <x:c r="C162" s="15" t="str">
        <x:v>Checking or savings account</x:v>
      </x:c>
      <x:c r="D162" s="15" t="str">
        <x:v>Problem caused by your funds being low</x:v>
      </x:c>
      <x:c r="E162" s="15" t="str">
        <x:v>WELLS FARGO &amp; COMPANY</x:v>
      </x:c>
      <x:c r="F162" s="15" t="str">
        <x:v>NC</x:v>
      </x:c>
      <x:c r="G162" s="15" t="str">
        <x:v>Yes</x:v>
      </x:c>
      <x:c r="H162" s="15" t="str">
        <x:v>In progress</x:v>
      </x:c>
      <x:c r="I162" s="15" t="str">
        <x:v>Web</x:v>
      </x:c>
      <x:c r="J162" s="16" t="d">
        <x:v>2026-09-30T00:00:00.000Z</x:v>
      </x:c>
      <x:c r="K162" s="15" t="str">
        <x:v>Checking account</x:v>
      </x:c>
      <x:c r="L162" s="15" t="str">
        <x:v>Late or other fees</x:v>
      </x:c>
      <x:c r="M162" s="15" t="str">
        <x:f>_xlfn.XLOOKUP(C162,'Lookups'!$A$7:$A$8,'Lookups'!$B$7:$B$8,"Unmapped",0)</x:f>
        <x:v>Deposit operations</x:v>
      </x:c>
      <x:c r="N162" s="14" t="n">
        <x:f>DATE(YEAR(B162),MONTH(B162),1)</x:f>
        <x:v>46266</x:v>
      </x:c>
    </x:row>
    <x:row r="163" ht="55" customHeight="1">
      <x:c r="A163" s="13" t="str">
        <x:v>28665227</x:v>
      </x:c>
      <x:c r="B163" s="14" t="d">
        <x:v>2026-09-30T00:00:00.000Z</x:v>
      </x:c>
      <x:c r="C163" s="15" t="str">
        <x:v>Credit card</x:v>
      </x:c>
      <x:c r="D163" s="15" t="str">
        <x:v>Problem with a purchase shown on your statement</x:v>
      </x:c>
      <x:c r="E163" s="15" t="str">
        <x:v>CAPITAL ONE FINANCIAL CORPORATION</x:v>
      </x:c>
      <x:c r="F163" s="15" t="str">
        <x:v>IL</x:v>
      </x:c>
      <x:c r="G163" s="15" t="str">
        <x:v>Yes</x:v>
      </x:c>
      <x:c r="H163" s="15" t="str">
        <x:v>In progress</x:v>
      </x:c>
      <x:c r="I163" s="15" t="str">
        <x:v>Web</x:v>
      </x:c>
      <x:c r="J163" s="16" t="d">
        <x:v>2026-09-30T00:00:00.000Z</x:v>
      </x:c>
      <x:c r="K163" s="15" t="str">
        <x:v>General-purpose credit card or charge card</x:v>
      </x:c>
      <x:c r="L163" s="15" t="str">
        <x:v>Credit card company isn't resolving a dispute about a purchase on your statement</x:v>
      </x:c>
      <x:c r="M163" s="15" t="str">
        <x:f>_xlfn.XLOOKUP(C163,'Lookups'!$A$7:$A$8,'Lookups'!$B$7:$B$8,"Unmapped",0)</x:f>
        <x:v>Card operations</x:v>
      </x:c>
      <x:c r="N163" s="14" t="n">
        <x:f>DATE(YEAR(B163),MONTH(B163),1)</x:f>
        <x:v>46266</x:v>
      </x:c>
    </x:row>
    <x:row r="164" ht="55" customHeight="1">
      <x:c r="A164" s="13" t="str">
        <x:v>28666413</x:v>
      </x:c>
      <x:c r="B164" s="14" t="d">
        <x:v>2026-09-30T00:00:00.000Z</x:v>
      </x:c>
      <x:c r="C164" s="15" t="str">
        <x:v>Credit card</x:v>
      </x:c>
      <x:c r="D164" s="15" t="str">
        <x:v>Fees or interest</x:v>
      </x:c>
      <x:c r="E164" s="15" t="str">
        <x:v>Bread Financial Holdings, Inc.</x:v>
      </x:c>
      <x:c r="F164" s="15" t="str">
        <x:v>TX</x:v>
      </x:c>
      <x:c r="G164" s="15" t="str">
        <x:v>Yes</x:v>
      </x:c>
      <x:c r="H164" s="15" t="str">
        <x:v>Closed with monetary relief</x:v>
      </x:c>
      <x:c r="I164" s="15" t="str">
        <x:v>Web</x:v>
      </x:c>
      <x:c r="J164" s="16" t="d">
        <x:v>2026-09-30T00:00:00.000Z</x:v>
      </x:c>
      <x:c r="K164" s="15" t="str">
        <x:v>Store credit card</x:v>
      </x:c>
      <x:c r="L164" s="15" t="str">
        <x:v>Problem with fees</x:v>
      </x:c>
      <x:c r="M164" s="15" t="str">
        <x:f>_xlfn.XLOOKUP(C164,'Lookups'!$A$7:$A$8,'Lookups'!$B$7:$B$8,"Unmapped",0)</x:f>
        <x:v>Card operations</x:v>
      </x:c>
      <x:c r="N164" s="14" t="n">
        <x:f>DATE(YEAR(B164),MONTH(B164),1)</x:f>
        <x:v>46266</x:v>
      </x:c>
    </x:row>
    <x:row r="165" ht="55" customHeight="1">
      <x:c r="A165" s="13" t="str">
        <x:v>28667834</x:v>
      </x:c>
      <x:c r="B165" s="14" t="d">
        <x:v>2026-09-30T00:00:00.000Z</x:v>
      </x:c>
      <x:c r="C165" s="15" t="str">
        <x:v>Credit card</x:v>
      </x:c>
      <x:c r="D165" s="15" t="str">
        <x:v>Trouble using your card</x:v>
      </x:c>
      <x:c r="E165" s="15" t="str">
        <x:v>JPMORGAN CHASE &amp; CO.</x:v>
      </x:c>
      <x:c r="F165" s="15" t="str">
        <x:v>OK</x:v>
      </x:c>
      <x:c r="G165" s="15" t="str">
        <x:v>Yes</x:v>
      </x:c>
      <x:c r="H165" s="15" t="str">
        <x:v>Closed with explanation</x:v>
      </x:c>
      <x:c r="I165" s="15" t="str">
        <x:v>Web</x:v>
      </x:c>
      <x:c r="J165" s="16" t="d">
        <x:v>2026-09-30T00:00:00.000Z</x:v>
      </x:c>
      <x:c r="K165" s="15" t="str">
        <x:v>General-purpose credit card or charge card</x:v>
      </x:c>
      <x:c r="L165" s="15" t="str">
        <x:v>Can't use card to make purchases</x:v>
      </x:c>
      <x:c r="M165" s="15" t="str">
        <x:f>_xlfn.XLOOKUP(C165,'Lookups'!$A$7:$A$8,'Lookups'!$B$7:$B$8,"Unmapped",0)</x:f>
        <x:v>Card operations</x:v>
      </x:c>
      <x:c r="N165" s="14" t="n">
        <x:f>DATE(YEAR(B165),MONTH(B165),1)</x:f>
        <x:v>46266</x:v>
      </x:c>
    </x:row>
    <x:row r="166" ht="55" customHeight="1">
      <x:c r="A166" s="13" t="str">
        <x:v>28667861</x:v>
      </x:c>
      <x:c r="B166" s="14" t="d">
        <x:v>2026-09-30T00:00:00.000Z</x:v>
      </x:c>
      <x:c r="C166" s="15" t="str">
        <x:v>Checking or savings account</x:v>
      </x:c>
      <x:c r="D166" s="15" t="str">
        <x:v>Managing an account</x:v>
      </x:c>
      <x:c r="E166" s="15" t="str">
        <x:v>Chime Financial Inc</x:v>
      </x:c>
      <x:c r="F166" s="15" t="str">
        <x:v>MI</x:v>
      </x:c>
      <x:c r="G166" s="15" t="str">
        <x:v>Yes</x:v>
      </x:c>
      <x:c r="H166" s="15" t="str">
        <x:v>Closed with explanation</x:v>
      </x:c>
      <x:c r="I166" s="15" t="str">
        <x:v>Web</x:v>
      </x:c>
      <x:c r="J166" s="16" t="d">
        <x:v>2026-09-30T00:00:00.000Z</x:v>
      </x:c>
      <x:c r="K166" s="15" t="str">
        <x:v>Checking account</x:v>
      </x:c>
      <x:c r="L166" s="15" t="str">
        <x:v>Problem using a debit or ATM card</x:v>
      </x:c>
      <x:c r="M166" s="15" t="str">
        <x:f>_xlfn.XLOOKUP(C166,'Lookups'!$A$7:$A$8,'Lookups'!$B$7:$B$8,"Unmapped",0)</x:f>
        <x:v>Deposit operations</x:v>
      </x:c>
      <x:c r="N166" s="14" t="n">
        <x:f>DATE(YEAR(B166),MONTH(B166),1)</x:f>
        <x:v>46266</x:v>
      </x:c>
    </x:row>
    <x:row r="167" ht="55" customHeight="1">
      <x:c r="A167" s="13" t="str">
        <x:v>28668013</x:v>
      </x:c>
      <x:c r="B167" s="14" t="d">
        <x:v>2026-09-30T00:00:00.000Z</x:v>
      </x:c>
      <x:c r="C167" s="15" t="str">
        <x:v>Checking or savings account</x:v>
      </x:c>
      <x:c r="D167" s="15" t="str">
        <x:v>Problem caused by your funds being low</x:v>
      </x:c>
      <x:c r="E167" s="15" t="str">
        <x:v>REGIONS FINANCIAL CORPORATION</x:v>
      </x:c>
      <x:c r="F167" s="15" t="str">
        <x:v>AL</x:v>
      </x:c>
      <x:c r="G167" s="15" t="str">
        <x:v>Yes</x:v>
      </x:c>
      <x:c r="H167" s="15" t="str">
        <x:v>In progress</x:v>
      </x:c>
      <x:c r="I167" s="15" t="str">
        <x:v>Web</x:v>
      </x:c>
      <x:c r="J167" s="16" t="d">
        <x:v>2026-09-30T00:00:00.000Z</x:v>
      </x:c>
      <x:c r="K167" s="15" t="str">
        <x:v>Checking account</x:v>
      </x:c>
      <x:c r="L167" s="15" t="str">
        <x:v>Overdrafts and overdraft fees</x:v>
      </x:c>
      <x:c r="M167" s="15" t="str">
        <x:f>_xlfn.XLOOKUP(C167,'Lookups'!$A$7:$A$8,'Lookups'!$B$7:$B$8,"Unmapped",0)</x:f>
        <x:v>Deposit operations</x:v>
      </x:c>
      <x:c r="N167" s="14" t="n">
        <x:f>DATE(YEAR(B167),MONTH(B167),1)</x:f>
        <x:v>46266</x:v>
      </x:c>
    </x:row>
    <x:row r="168" ht="55" customHeight="1">
      <x:c r="A168" s="13" t="str">
        <x:v>28669606</x:v>
      </x:c>
      <x:c r="B168" s="14" t="d">
        <x:v>2026-09-30T00:00:00.000Z</x:v>
      </x:c>
      <x:c r="C168" s="15" t="str">
        <x:v>Checking or savings account</x:v>
      </x:c>
      <x:c r="D168" s="15" t="str">
        <x:v>Managing an account</x:v>
      </x:c>
      <x:c r="E168" s="15" t="str">
        <x:v>WELLS FARGO &amp; COMPANY</x:v>
      </x:c>
      <x:c r="F168" s="15" t="str">
        <x:v>TX</x:v>
      </x:c>
      <x:c r="G168" s="15" t="str">
        <x:v>Yes</x:v>
      </x:c>
      <x:c r="H168" s="15" t="str">
        <x:v>In progress</x:v>
      </x:c>
      <x:c r="I168" s="15" t="str">
        <x:v>Web</x:v>
      </x:c>
      <x:c r="J168" s="16" t="d">
        <x:v>2026-09-30T00:00:00.000Z</x:v>
      </x:c>
      <x:c r="K168" s="15" t="str">
        <x:v>Checking account</x:v>
      </x:c>
      <x:c r="L168" s="15" t="str">
        <x:v>Problem making or receiving payments</x:v>
      </x:c>
      <x:c r="M168" s="15" t="str">
        <x:f>_xlfn.XLOOKUP(C168,'Lookups'!$A$7:$A$8,'Lookups'!$B$7:$B$8,"Unmapped",0)</x:f>
        <x:v>Deposit operations</x:v>
      </x:c>
      <x:c r="N168" s="14" t="n">
        <x:f>DATE(YEAR(B168),MONTH(B168),1)</x:f>
        <x:v>46266</x:v>
      </x:c>
    </x:row>
    <x:row r="169" ht="55" customHeight="1">
      <x:c r="A169" s="13" t="str">
        <x:v>28670156</x:v>
      </x:c>
      <x:c r="B169" s="14" t="d">
        <x:v>2026-09-30T00:00:00.000Z</x:v>
      </x:c>
      <x:c r="C169" s="15" t="str">
        <x:v>Credit card</x:v>
      </x:c>
      <x:c r="D169" s="15" t="str">
        <x:v>Trouble using your card</x:v>
      </x:c>
      <x:c r="E169" s="15" t="str">
        <x:v>CAPITAL ONE FINANCIAL CORPORATION</x:v>
      </x:c>
      <x:c r="F169" s="15" t="str">
        <x:v>AP</x:v>
      </x:c>
      <x:c r="G169" s="15" t="str">
        <x:v>Yes</x:v>
      </x:c>
      <x:c r="H169" s="15" t="str">
        <x:v>In progress</x:v>
      </x:c>
      <x:c r="I169" s="15" t="str">
        <x:v>Web</x:v>
      </x:c>
      <x:c r="J169" s="16" t="d">
        <x:v>2026-09-30T00:00:00.000Z</x:v>
      </x:c>
      <x:c r="K169" s="15" t="str">
        <x:v>General-purpose credit card or charge card</x:v>
      </x:c>
      <x:c r="L169" s="15" t="str">
        <x:v>Can't use card to make purchases</x:v>
      </x:c>
      <x:c r="M169" s="15" t="str">
        <x:f>_xlfn.XLOOKUP(C169,'Lookups'!$A$7:$A$8,'Lookups'!$B$7:$B$8,"Unmapped",0)</x:f>
        <x:v>Card operations</x:v>
      </x:c>
      <x:c r="N169" s="14" t="n">
        <x:f>DATE(YEAR(B169),MONTH(B169),1)</x:f>
        <x:v>46266</x:v>
      </x:c>
    </x:row>
    <x:row r="170" ht="55" customHeight="1">
      <x:c r="A170" s="13" t="str">
        <x:v>28671375</x:v>
      </x:c>
      <x:c r="B170" s="14" t="d">
        <x:v>2026-09-30T00:00:00.000Z</x:v>
      </x:c>
      <x:c r="C170" s="15" t="str">
        <x:v>Credit card</x:v>
      </x:c>
      <x:c r="D170" s="15" t="str">
        <x:v>Problem when making payments</x:v>
      </x:c>
      <x:c r="E170" s="15" t="str">
        <x:v>CAPITAL ONE FINANCIAL CORPORATION</x:v>
      </x:c>
      <x:c r="F170" s="15" t="str">
        <x:v>NC</x:v>
      </x:c>
      <x:c r="G170" s="15" t="str">
        <x:v>Yes</x:v>
      </x:c>
      <x:c r="H170" s="15" t="str">
        <x:v>In progress</x:v>
      </x:c>
      <x:c r="I170" s="15" t="str">
        <x:v>Web</x:v>
      </x:c>
      <x:c r="J170" s="16" t="d">
        <x:v>2026-09-30T00:00:00.000Z</x:v>
      </x:c>
      <x:c r="K170" s="15" t="str">
        <x:v>General-purpose credit card or charge card</x:v>
      </x:c>
      <x:c r="L170" s="15" t="str">
        <x:v>Problem during payment process</x:v>
      </x:c>
      <x:c r="M170" s="15" t="str">
        <x:f>_xlfn.XLOOKUP(C170,'Lookups'!$A$7:$A$8,'Lookups'!$B$7:$B$8,"Unmapped",0)</x:f>
        <x:v>Card operations</x:v>
      </x:c>
      <x:c r="N170" s="14" t="n">
        <x:f>DATE(YEAR(B170),MONTH(B170),1)</x:f>
        <x:v>46266</x:v>
      </x:c>
    </x:row>
    <x:row r="171" ht="55" customHeight="1">
      <x:c r="A171" s="13" t="str">
        <x:v>28671377</x:v>
      </x:c>
      <x:c r="B171" s="14" t="d">
        <x:v>2026-09-30T00:00:00.000Z</x:v>
      </x:c>
      <x:c r="C171" s="15" t="str">
        <x:v>Credit card</x:v>
      </x:c>
      <x:c r="D171" s="15" t="str">
        <x:v>Problem with a purchase shown on your statement</x:v>
      </x:c>
      <x:c r="E171" s="15" t="str">
        <x:v>CAPITAL ONE FINANCIAL CORPORATION</x:v>
      </x:c>
      <x:c r="F171" s="15" t="str">
        <x:v>Unknown</x:v>
      </x:c>
      <x:c r="G171" s="15" t="str">
        <x:v>Yes</x:v>
      </x:c>
      <x:c r="H171" s="15" t="str">
        <x:v>In progress</x:v>
      </x:c>
      <x:c r="I171" s="15" t="str">
        <x:v>Web</x:v>
      </x:c>
      <x:c r="J171" s="16" t="d">
        <x:v>2026-09-30T00:00:00.000Z</x:v>
      </x:c>
      <x:c r="K171" s="15" t="str">
        <x:v>General-purpose credit card or charge card</x:v>
      </x:c>
      <x:c r="L171" s="15" t="str">
        <x:v>Credit card company isn't resolving a dispute about a purchase on your statement</x:v>
      </x:c>
      <x:c r="M171" s="15" t="str">
        <x:f>_xlfn.XLOOKUP(C171,'Lookups'!$A$7:$A$8,'Lookups'!$B$7:$B$8,"Unmapped",0)</x:f>
        <x:v>Card operations</x:v>
      </x:c>
      <x:c r="N171" s="14" t="n">
        <x:f>DATE(YEAR(B171),MONTH(B171),1)</x:f>
        <x:v>46266</x:v>
      </x:c>
    </x:row>
    <x:row r="172" ht="55" customHeight="1">
      <x:c r="A172" s="13" t="str">
        <x:v>28672700</x:v>
      </x:c>
      <x:c r="B172" s="14" t="d">
        <x:v>2026-09-30T00:00:00.000Z</x:v>
      </x:c>
      <x:c r="C172" s="15" t="str">
        <x:v>Credit card</x:v>
      </x:c>
      <x:c r="D172" s="15" t="str">
        <x:v>Fees or interest</x:v>
      </x:c>
      <x:c r="E172" s="15" t="str">
        <x:v>SYNCHRONY FINANCIAL</x:v>
      </x:c>
      <x:c r="F172" s="15" t="str">
        <x:v>NY</x:v>
      </x:c>
      <x:c r="G172" s="15" t="str">
        <x:v>Yes</x:v>
      </x:c>
      <x:c r="H172" s="15" t="str">
        <x:v>In progress</x:v>
      </x:c>
      <x:c r="I172" s="15" t="str">
        <x:v>Web</x:v>
      </x:c>
      <x:c r="J172" s="16" t="d">
        <x:v>2026-09-30T00:00:00.000Z</x:v>
      </x:c>
      <x:c r="K172" s="15" t="str">
        <x:v>General-purpose credit card or charge card</x:v>
      </x:c>
      <x:c r="L172" s="15" t="str">
        <x:v>Charged too much interest</x:v>
      </x:c>
      <x:c r="M172" s="15" t="str">
        <x:f>_xlfn.XLOOKUP(C172,'Lookups'!$A$7:$A$8,'Lookups'!$B$7:$B$8,"Unmapped",0)</x:f>
        <x:v>Card operations</x:v>
      </x:c>
      <x:c r="N172" s="14" t="n">
        <x:f>DATE(YEAR(B172),MONTH(B172),1)</x:f>
        <x:v>46266</x:v>
      </x:c>
    </x:row>
    <x:row r="173" ht="55" customHeight="1">
      <x:c r="A173" s="13" t="str">
        <x:v>28672809</x:v>
      </x:c>
      <x:c r="B173" s="14" t="d">
        <x:v>2026-09-30T00:00:00.000Z</x:v>
      </x:c>
      <x:c r="C173" s="15" t="str">
        <x:v>Checking or savings account</x:v>
      </x:c>
      <x:c r="D173" s="15" t="str">
        <x:v>Managing an account</x:v>
      </x:c>
      <x:c r="E173" s="15" t="str">
        <x:v>WELLS FARGO &amp; COMPANY</x:v>
      </x:c>
      <x:c r="F173" s="15" t="str">
        <x:v>GA</x:v>
      </x:c>
      <x:c r="G173" s="15" t="str">
        <x:v>Yes</x:v>
      </x:c>
      <x:c r="H173" s="15" t="str">
        <x:v>In progress</x:v>
      </x:c>
      <x:c r="I173" s="15" t="str">
        <x:v>Web</x:v>
      </x:c>
      <x:c r="J173" s="16" t="d">
        <x:v>2026-09-30T00:00:00.000Z</x:v>
      </x:c>
      <x:c r="K173" s="15" t="str">
        <x:v>Checking account</x:v>
      </x:c>
      <x:c r="L173" s="15" t="str">
        <x:v>Problem using a debit or ATM card</x:v>
      </x:c>
      <x:c r="M173" s="15" t="str">
        <x:f>_xlfn.XLOOKUP(C173,'Lookups'!$A$7:$A$8,'Lookups'!$B$7:$B$8,"Unmapped",0)</x:f>
        <x:v>Deposit operations</x:v>
      </x:c>
      <x:c r="N173" s="14" t="n">
        <x:f>DATE(YEAR(B173),MONTH(B173),1)</x:f>
        <x:v>46266</x:v>
      </x:c>
    </x:row>
    <x:row r="174" ht="55" customHeight="1">
      <x:c r="A174" s="13" t="str">
        <x:v>28672830</x:v>
      </x:c>
      <x:c r="B174" s="14" t="d">
        <x:v>2026-09-30T00:00:00.000Z</x:v>
      </x:c>
      <x:c r="C174" s="15" t="str">
        <x:v>Checking or savings account</x:v>
      </x:c>
      <x:c r="D174" s="15" t="str">
        <x:v>Opening an account</x:v>
      </x:c>
      <x:c r="E174" s="15" t="str">
        <x:v>Block, Inc.</x:v>
      </x:c>
      <x:c r="F174" s="15" t="str">
        <x:v>VA</x:v>
      </x:c>
      <x:c r="G174" s="15" t="str">
        <x:v>Yes</x:v>
      </x:c>
      <x:c r="H174" s="15" t="str">
        <x:v>Closed with explanation</x:v>
      </x:c>
      <x:c r="I174" s="15" t="str">
        <x:v>Web</x:v>
      </x:c>
      <x:c r="J174" s="16" t="d">
        <x:v>2026-09-30T00:00:00.000Z</x:v>
      </x:c>
      <x:c r="K174" s="15" t="str">
        <x:v>Other banking product or service</x:v>
      </x:c>
      <x:c r="L174" s="15" t="str">
        <x:v>Unable to open an account</x:v>
      </x:c>
      <x:c r="M174" s="15" t="str">
        <x:f>_xlfn.XLOOKUP(C174,'Lookups'!$A$7:$A$8,'Lookups'!$B$7:$B$8,"Unmapped",0)</x:f>
        <x:v>Deposit operations</x:v>
      </x:c>
      <x:c r="N174" s="14" t="n">
        <x:f>DATE(YEAR(B174),MONTH(B174),1)</x:f>
        <x:v>46266</x:v>
      </x:c>
    </x:row>
    <x:row r="175" ht="55" customHeight="1">
      <x:c r="A175" s="13" t="str">
        <x:v>28672919</x:v>
      </x:c>
      <x:c r="B175" s="14" t="d">
        <x:v>2026-09-30T00:00:00.000Z</x:v>
      </x:c>
      <x:c r="C175" s="15" t="str">
        <x:v>Checking or savings account</x:v>
      </x:c>
      <x:c r="D175" s="15" t="str">
        <x:v>Closing an account</x:v>
      </x:c>
      <x:c r="E175" s="15" t="str">
        <x:v>MORGAN STANLEY &amp; CO. LLC</x:v>
      </x:c>
      <x:c r="F175" s="15" t="str">
        <x:v>MO</x:v>
      </x:c>
      <x:c r="G175" s="15" t="str">
        <x:v>Yes</x:v>
      </x:c>
      <x:c r="H175" s="15" t="str">
        <x:v>Closed with explanation</x:v>
      </x:c>
      <x:c r="I175" s="15" t="str">
        <x:v>Web</x:v>
      </x:c>
      <x:c r="J175" s="16" t="d">
        <x:v>2026-09-30T00:00:00.000Z</x:v>
      </x:c>
      <x:c r="K175" s="15" t="str">
        <x:v>Checking account</x:v>
      </x:c>
      <x:c r="L175" s="15" t="str">
        <x:v>Funds not received from closed account</x:v>
      </x:c>
      <x:c r="M175" s="15" t="str">
        <x:f>_xlfn.XLOOKUP(C175,'Lookups'!$A$7:$A$8,'Lookups'!$B$7:$B$8,"Unmapped",0)</x:f>
        <x:v>Deposit operations</x:v>
      </x:c>
      <x:c r="N175" s="14" t="n">
        <x:f>DATE(YEAR(B175),MONTH(B175),1)</x:f>
        <x:v>46266</x:v>
      </x:c>
    </x:row>
    <x:row r="176" ht="55" customHeight="1">
      <x:c r="A176" s="13" t="str">
        <x:v>28672958</x:v>
      </x:c>
      <x:c r="B176" s="14" t="d">
        <x:v>2026-09-30T00:00:00.000Z</x:v>
      </x:c>
      <x:c r="C176" s="15" t="str">
        <x:v>Credit card</x:v>
      </x:c>
      <x:c r="D176" s="15" t="str">
        <x:v>Incorrect information on your report</x:v>
      </x:c>
      <x:c r="E176" s="15" t="str">
        <x:v>FIRST TECHNOLOGY FEDERAL CREDIT UNION</x:v>
      </x:c>
      <x:c r="F176" s="15" t="str">
        <x:v>ME</x:v>
      </x:c>
      <x:c r="G176" s="15" t="str">
        <x:v>Yes</x:v>
      </x:c>
      <x:c r="H176" s="15" t="str">
        <x:v>Closed with explanation</x:v>
      </x:c>
      <x:c r="I176" s="15" t="str">
        <x:v>Web</x:v>
      </x:c>
      <x:c r="J176" s="16" t="d">
        <x:v>2026-09-30T00:00:00.000Z</x:v>
      </x:c>
      <x:c r="K176" s="15" t="str">
        <x:v>General-purpose credit card or charge card</x:v>
      </x:c>
      <x:c r="L176" s="15" t="str">
        <x:v>Account information incorrect</x:v>
      </x:c>
      <x:c r="M176" s="15" t="str">
        <x:f>_xlfn.XLOOKUP(C176,'Lookups'!$A$7:$A$8,'Lookups'!$B$7:$B$8,"Unmapped",0)</x:f>
        <x:v>Card operations</x:v>
      </x:c>
      <x:c r="N176" s="14" t="n">
        <x:f>DATE(YEAR(B176),MONTH(B176),1)</x:f>
        <x:v>46266</x:v>
      </x:c>
    </x:row>
    <x:row r="177" ht="55" customHeight="1">
      <x:c r="A177" s="13" t="str">
        <x:v>28673034</x:v>
      </x:c>
      <x:c r="B177" s="14" t="d">
        <x:v>2026-09-30T00:00:00.000Z</x:v>
      </x:c>
      <x:c r="C177" s="15" t="str">
        <x:v>Checking or savings account</x:v>
      </x:c>
      <x:c r="D177" s="15" t="str">
        <x:v>Problem caused by your funds being low</x:v>
      </x:c>
      <x:c r="E177" s="15" t="str">
        <x:v>SANTANDER HOLDINGS USA, INC.</x:v>
      </x:c>
      <x:c r="F177" s="15" t="str">
        <x:v>MA</x:v>
      </x:c>
      <x:c r="G177" s="15" t="str">
        <x:v>Yes</x:v>
      </x:c>
      <x:c r="H177" s="15" t="str">
        <x:v>In progress</x:v>
      </x:c>
      <x:c r="I177" s="15" t="str">
        <x:v>Web</x:v>
      </x:c>
      <x:c r="J177" s="16" t="d">
        <x:v>2026-09-30T00:00:00.000Z</x:v>
      </x:c>
      <x:c r="K177" s="15" t="str">
        <x:v>Checking account</x:v>
      </x:c>
      <x:c r="L177" s="15" t="str">
        <x:v>Overdrafts and overdraft fees</x:v>
      </x:c>
      <x:c r="M177" s="15" t="str">
        <x:f>_xlfn.XLOOKUP(C177,'Lookups'!$A$7:$A$8,'Lookups'!$B$7:$B$8,"Unmapped",0)</x:f>
        <x:v>Deposit operations</x:v>
      </x:c>
      <x:c r="N177" s="14" t="n">
        <x:f>DATE(YEAR(B177),MONTH(B177),1)</x:f>
        <x:v>46266</x:v>
      </x:c>
    </x:row>
    <x:row r="178" ht="55" customHeight="1">
      <x:c r="A178" s="13" t="str">
        <x:v>28673285</x:v>
      </x:c>
      <x:c r="B178" s="14" t="d">
        <x:v>2026-09-30T00:00:00.000Z</x:v>
      </x:c>
      <x:c r="C178" s="15" t="str">
        <x:v>Checking or savings account</x:v>
      </x:c>
      <x:c r="D178" s="15" t="str">
        <x:v>Problem with a lender or other company charging your account</x:v>
      </x:c>
      <x:c r="E178" s="15" t="str">
        <x:v>WELLS FARGO &amp; COMPANY</x:v>
      </x:c>
      <x:c r="F178" s="15" t="str">
        <x:v>WA</x:v>
      </x:c>
      <x:c r="G178" s="15" t="str">
        <x:v>Yes</x:v>
      </x:c>
      <x:c r="H178" s="15" t="str">
        <x:v>Closed with monetary relief</x:v>
      </x:c>
      <x:c r="I178" s="15" t="str">
        <x:v>Web</x:v>
      </x:c>
      <x:c r="J178" s="16" t="d">
        <x:v>2026-09-30T00:00:00.000Z</x:v>
      </x:c>
      <x:c r="K178" s="15" t="str">
        <x:v>Checking account</x:v>
      </x:c>
      <x:c r="L178" s="15" t="str">
        <x:v>Can't stop withdrawals from your account</x:v>
      </x:c>
      <x:c r="M178" s="15" t="str">
        <x:f>_xlfn.XLOOKUP(C178,'Lookups'!$A$7:$A$8,'Lookups'!$B$7:$B$8,"Unmapped",0)</x:f>
        <x:v>Deposit operations</x:v>
      </x:c>
      <x:c r="N178" s="14" t="n">
        <x:f>DATE(YEAR(B178),MONTH(B178),1)</x:f>
        <x:v>46266</x:v>
      </x:c>
    </x:row>
    <x:row r="179" ht="55" customHeight="1">
      <x:c r="A179" s="13" t="str">
        <x:v>28674412</x:v>
      </x:c>
      <x:c r="B179" s="14" t="d">
        <x:v>2026-09-30T00:00:00.000Z</x:v>
      </x:c>
      <x:c r="C179" s="15" t="str">
        <x:v>Checking or savings account</x:v>
      </x:c>
      <x:c r="D179" s="15" t="str">
        <x:v>Problem caused by your funds being low</x:v>
      </x:c>
      <x:c r="E179" s="15" t="str">
        <x:v>WELLS FARGO &amp; COMPANY</x:v>
      </x:c>
      <x:c r="F179" s="15" t="str">
        <x:v>NC</x:v>
      </x:c>
      <x:c r="G179" s="15" t="str">
        <x:v>Yes</x:v>
      </x:c>
      <x:c r="H179" s="15" t="str">
        <x:v>In progress</x:v>
      </x:c>
      <x:c r="I179" s="15" t="str">
        <x:v>Web</x:v>
      </x:c>
      <x:c r="J179" s="16" t="d">
        <x:v>2026-09-30T00:00:00.000Z</x:v>
      </x:c>
      <x:c r="K179" s="15" t="str">
        <x:v>Checking account</x:v>
      </x:c>
      <x:c r="L179" s="15" t="str">
        <x:v>Overdrafts and overdraft fees</x:v>
      </x:c>
      <x:c r="M179" s="15" t="str">
        <x:f>_xlfn.XLOOKUP(C179,'Lookups'!$A$7:$A$8,'Lookups'!$B$7:$B$8,"Unmapped",0)</x:f>
        <x:v>Deposit operations</x:v>
      </x:c>
      <x:c r="N179" s="14" t="n">
        <x:f>DATE(YEAR(B179),MONTH(B179),1)</x:f>
        <x:v>46266</x:v>
      </x:c>
    </x:row>
    <x:row r="180" ht="55" customHeight="1">
      <x:c r="A180" s="13" t="str">
        <x:v>28674559</x:v>
      </x:c>
      <x:c r="B180" s="14" t="d">
        <x:v>2026-09-30T00:00:00.000Z</x:v>
      </x:c>
      <x:c r="C180" s="15" t="str">
        <x:v>Credit card</x:v>
      </x:c>
      <x:c r="D180" s="15" t="str">
        <x:v>Problem with a purchase shown on your statement</x:v>
      </x:c>
      <x:c r="E180" s="15" t="str">
        <x:v>CITIBANK, N.A.</x:v>
      </x:c>
      <x:c r="F180" s="15" t="str">
        <x:v>SC</x:v>
      </x:c>
      <x:c r="G180" s="15" t="str">
        <x:v>Yes</x:v>
      </x:c>
      <x:c r="H180" s="15" t="str">
        <x:v>In progress</x:v>
      </x:c>
      <x:c r="I180" s="15" t="str">
        <x:v>Web</x:v>
      </x:c>
      <x:c r="J180" s="16" t="d">
        <x:v>2026-09-30T00:00:00.000Z</x:v>
      </x:c>
      <x:c r="K180" s="15" t="str">
        <x:v>General-purpose credit card or charge card</x:v>
      </x:c>
      <x:c r="L180" s="15" t="str">
        <x:v>Credit card company isn't resolving a dispute about a purchase on your statement</x:v>
      </x:c>
      <x:c r="M180" s="15" t="str">
        <x:f>_xlfn.XLOOKUP(C180,'Lookups'!$A$7:$A$8,'Lookups'!$B$7:$B$8,"Unmapped",0)</x:f>
        <x:v>Card operations</x:v>
      </x:c>
      <x:c r="N180" s="14" t="n">
        <x:f>DATE(YEAR(B180),MONTH(B180),1)</x:f>
        <x:v>46266</x:v>
      </x:c>
    </x:row>
    <x:row r="181" ht="55" customHeight="1">
      <x:c r="A181" s="13" t="str">
        <x:v>28674808</x:v>
      </x:c>
      <x:c r="B181" s="14" t="d">
        <x:v>2026-09-30T00:00:00.000Z</x:v>
      </x:c>
      <x:c r="C181" s="15" t="str">
        <x:v>Checking or savings account</x:v>
      </x:c>
      <x:c r="D181" s="15" t="str">
        <x:v>Managing an account</x:v>
      </x:c>
      <x:c r="E181" s="15" t="str">
        <x:v>Chime Financial Inc</x:v>
      </x:c>
      <x:c r="F181" s="15" t="str">
        <x:v>FL</x:v>
      </x:c>
      <x:c r="G181" s="15" t="str">
        <x:v>Yes</x:v>
      </x:c>
      <x:c r="H181" s="15" t="str">
        <x:v>In progress</x:v>
      </x:c>
      <x:c r="I181" s="15" t="str">
        <x:v>Web</x:v>
      </x:c>
      <x:c r="J181" s="16" t="d">
        <x:v>2026-09-30T00:00:00.000Z</x:v>
      </x:c>
      <x:c r="K181" s="15" t="str">
        <x:v>Other banking product or service</x:v>
      </x:c>
      <x:c r="L181" s="15" t="str">
        <x:v>Funds not handled or disbursed as instructed</x:v>
      </x:c>
      <x:c r="M181" s="15" t="str">
        <x:f>_xlfn.XLOOKUP(C181,'Lookups'!$A$7:$A$8,'Lookups'!$B$7:$B$8,"Unmapped",0)</x:f>
        <x:v>Deposit operations</x:v>
      </x:c>
      <x:c r="N181" s="14" t="n">
        <x:f>DATE(YEAR(B181),MONTH(B181),1)</x:f>
        <x:v>46266</x:v>
      </x:c>
    </x:row>
    <x:row r="182" ht="55" customHeight="1">
      <x:c r="A182" s="13" t="str">
        <x:v>28674935</x:v>
      </x:c>
      <x:c r="B182" s="14" t="d">
        <x:v>2026-09-30T00:00:00.000Z</x:v>
      </x:c>
      <x:c r="C182" s="15" t="str">
        <x:v>Checking or savings account</x:v>
      </x:c>
      <x:c r="D182" s="15" t="str">
        <x:v>Problem with a lender or other company charging your account</x:v>
      </x:c>
      <x:c r="E182" s="15" t="str">
        <x:v>WELLS FARGO &amp; COMPANY</x:v>
      </x:c>
      <x:c r="F182" s="15" t="str">
        <x:v>CA</x:v>
      </x:c>
      <x:c r="G182" s="15" t="str">
        <x:v>Yes</x:v>
      </x:c>
      <x:c r="H182" s="15" t="str">
        <x:v>In progress</x:v>
      </x:c>
      <x:c r="I182" s="15" t="str">
        <x:v>Web</x:v>
      </x:c>
      <x:c r="J182" s="16" t="d">
        <x:v>2026-09-30T00:00:00.000Z</x:v>
      </x:c>
      <x:c r="K182" s="15" t="str">
        <x:v>Checking account</x:v>
      </x:c>
      <x:c r="L182" s="15" t="str">
        <x:v>Transaction was not authorized</x:v>
      </x:c>
      <x:c r="M182" s="15" t="str">
        <x:f>_xlfn.XLOOKUP(C182,'Lookups'!$A$7:$A$8,'Lookups'!$B$7:$B$8,"Unmapped",0)</x:f>
        <x:v>Deposit operations</x:v>
      </x:c>
      <x:c r="N182" s="14" t="n">
        <x:f>DATE(YEAR(B182),MONTH(B182),1)</x:f>
        <x:v>46266</x:v>
      </x:c>
    </x:row>
    <x:row r="183" ht="55" customHeight="1">
      <x:c r="A183" s="13" t="str">
        <x:v>28675041</x:v>
      </x:c>
      <x:c r="B183" s="14" t="d">
        <x:v>2026-09-30T00:00:00.000Z</x:v>
      </x:c>
      <x:c r="C183" s="15" t="str">
        <x:v>Checking or savings account</x:v>
      </x:c>
      <x:c r="D183" s="15" t="str">
        <x:v>Problem caused by your funds being low</x:v>
      </x:c>
      <x:c r="E183" s="15" t="str">
        <x:v>PNC Bank N.A.</x:v>
      </x:c>
      <x:c r="F183" s="15" t="str">
        <x:v>FL</x:v>
      </x:c>
      <x:c r="G183" s="15" t="str">
        <x:v>Yes</x:v>
      </x:c>
      <x:c r="H183" s="15" t="str">
        <x:v>In progress</x:v>
      </x:c>
      <x:c r="I183" s="15" t="str">
        <x:v>Web</x:v>
      </x:c>
      <x:c r="J183" s="16" t="d">
        <x:v>2026-09-30T00:00:00.000Z</x:v>
      </x:c>
      <x:c r="K183" s="15" t="str">
        <x:v>Checking account</x:v>
      </x:c>
      <x:c r="L183" s="15" t="str">
        <x:v>Overdrafts and overdraft fees</x:v>
      </x:c>
      <x:c r="M183" s="15" t="str">
        <x:f>_xlfn.XLOOKUP(C183,'Lookups'!$A$7:$A$8,'Lookups'!$B$7:$B$8,"Unmapped",0)</x:f>
        <x:v>Deposit operations</x:v>
      </x:c>
      <x:c r="N183" s="14" t="n">
        <x:f>DATE(YEAR(B183),MONTH(B183),1)</x:f>
        <x:v>46266</x:v>
      </x:c>
    </x:row>
    <x:row r="184" ht="55" customHeight="1">
      <x:c r="A184" s="13" t="str">
        <x:v>28675094</x:v>
      </x:c>
      <x:c r="B184" s="14" t="d">
        <x:v>2026-09-30T00:00:00.000Z</x:v>
      </x:c>
      <x:c r="C184" s="15" t="str">
        <x:v>Credit card</x:v>
      </x:c>
      <x:c r="D184" s="15" t="str">
        <x:v>Fees or interest</x:v>
      </x:c>
      <x:c r="E184" s="15" t="str">
        <x:v>BANK OF AMERICA, NATIONAL ASSOCIATION</x:v>
      </x:c>
      <x:c r="F184" s="15" t="str">
        <x:v>FL</x:v>
      </x:c>
      <x:c r="G184" s="15" t="str">
        <x:v>Yes</x:v>
      </x:c>
      <x:c r="H184" s="15" t="str">
        <x:v>In progress</x:v>
      </x:c>
      <x:c r="I184" s="15" t="str">
        <x:v>Web</x:v>
      </x:c>
      <x:c r="J184" s="16" t="d">
        <x:v>2026-09-30T00:00:00.000Z</x:v>
      </x:c>
      <x:c r="K184" s="15" t="str">
        <x:v>General-purpose credit card or charge card</x:v>
      </x:c>
      <x:c r="L184" s="15" t="str">
        <x:v>Problem with fees</x:v>
      </x:c>
      <x:c r="M184" s="15" t="str">
        <x:f>_xlfn.XLOOKUP(C184,'Lookups'!$A$7:$A$8,'Lookups'!$B$7:$B$8,"Unmapped",0)</x:f>
        <x:v>Card operations</x:v>
      </x:c>
      <x:c r="N184" s="14" t="n">
        <x:f>DATE(YEAR(B184),MONTH(B184),1)</x:f>
        <x:v>46266</x:v>
      </x:c>
    </x:row>
    <x:row r="185" ht="55" customHeight="1">
      <x:c r="A185" s="13" t="str">
        <x:v>28676201</x:v>
      </x:c>
      <x:c r="B185" s="14" t="d">
        <x:v>2026-09-30T00:00:00.000Z</x:v>
      </x:c>
      <x:c r="C185" s="15" t="str">
        <x:v>Checking or savings account</x:v>
      </x:c>
      <x:c r="D185" s="15" t="str">
        <x:v>Managing an account</x:v>
      </x:c>
      <x:c r="E185" s="15" t="str">
        <x:v>JPMORGAN CHASE &amp; CO.</x:v>
      </x:c>
      <x:c r="F185" s="15" t="str">
        <x:v>TX</x:v>
      </x:c>
      <x:c r="G185" s="15" t="str">
        <x:v>Yes</x:v>
      </x:c>
      <x:c r="H185" s="15" t="str">
        <x:v>In progress</x:v>
      </x:c>
      <x:c r="I185" s="15" t="str">
        <x:v>Web</x:v>
      </x:c>
      <x:c r="J185" s="16" t="d">
        <x:v>2026-09-30T00:00:00.000Z</x:v>
      </x:c>
      <x:c r="K185" s="15" t="str">
        <x:v>Checking account</x:v>
      </x:c>
      <x:c r="L185" s="15" t="str">
        <x:v>Funds not handled or disbursed as instructed</x:v>
      </x:c>
      <x:c r="M185" s="15" t="str">
        <x:f>_xlfn.XLOOKUP(C185,'Lookups'!$A$7:$A$8,'Lookups'!$B$7:$B$8,"Unmapped",0)</x:f>
        <x:v>Deposit operations</x:v>
      </x:c>
      <x:c r="N185" s="14" t="n">
        <x:f>DATE(YEAR(B185),MONTH(B185),1)</x:f>
        <x:v>46266</x:v>
      </x:c>
    </x:row>
    <x:row r="186" ht="55" customHeight="1">
      <x:c r="A186" s="13" t="str">
        <x:v>28676233</x:v>
      </x:c>
      <x:c r="B186" s="14" t="d">
        <x:v>2026-09-30T00:00:00.000Z</x:v>
      </x:c>
      <x:c r="C186" s="15" t="str">
        <x:v>Credit card</x:v>
      </x:c>
      <x:c r="D186" s="15" t="str">
        <x:v>Fees or interest</x:v>
      </x:c>
      <x:c r="E186" s="15" t="str">
        <x:v>Bread Financial Holdings, Inc.</x:v>
      </x:c>
      <x:c r="F186" s="15" t="str">
        <x:v>NE</x:v>
      </x:c>
      <x:c r="G186" s="15" t="str">
        <x:v>Yes</x:v>
      </x:c>
      <x:c r="H186" s="15" t="str">
        <x:v>Closed with explanation</x:v>
      </x:c>
      <x:c r="I186" s="15" t="str">
        <x:v>Web</x:v>
      </x:c>
      <x:c r="J186" s="16" t="d">
        <x:v>2026-09-30T00:00:00.000Z</x:v>
      </x:c>
      <x:c r="K186" s="15" t="str">
        <x:v>Store credit card</x:v>
      </x:c>
      <x:c r="L186" s="15" t="str">
        <x:v>Problem with fees</x:v>
      </x:c>
      <x:c r="M186" s="15" t="str">
        <x:f>_xlfn.XLOOKUP(C186,'Lookups'!$A$7:$A$8,'Lookups'!$B$7:$B$8,"Unmapped",0)</x:f>
        <x:v>Card operations</x:v>
      </x:c>
      <x:c r="N186" s="14" t="n">
        <x:f>DATE(YEAR(B186),MONTH(B186),1)</x:f>
        <x:v>46266</x:v>
      </x:c>
    </x:row>
    <x:row r="187" ht="55" customHeight="1">
      <x:c r="A187" s="13" t="str">
        <x:v>28676257</x:v>
      </x:c>
      <x:c r="B187" s="14" t="d">
        <x:v>2026-09-30T00:00:00.000Z</x:v>
      </x:c>
      <x:c r="C187" s="15" t="str">
        <x:v>Checking or savings account</x:v>
      </x:c>
      <x:c r="D187" s="15" t="str">
        <x:v>Problem with a lender or other company charging your account</x:v>
      </x:c>
      <x:c r="E187" s="15" t="str">
        <x:v>BANK OF AMERICA, NATIONAL ASSOCIATION</x:v>
      </x:c>
      <x:c r="F187" s="15" t="str">
        <x:v>NY</x:v>
      </x:c>
      <x:c r="G187" s="15" t="str">
        <x:v>Yes</x:v>
      </x:c>
      <x:c r="H187" s="15" t="str">
        <x:v>In progress</x:v>
      </x:c>
      <x:c r="I187" s="15" t="str">
        <x:v>Web</x:v>
      </x:c>
      <x:c r="J187" s="16" t="d">
        <x:v>2026-09-30T00:00:00.000Z</x:v>
      </x:c>
      <x:c r="K187" s="15" t="str">
        <x:v>Checking account</x:v>
      </x:c>
      <x:c r="L187" s="15" t="str">
        <x:v>Transaction was not authorized</x:v>
      </x:c>
      <x:c r="M187" s="15" t="str">
        <x:f>_xlfn.XLOOKUP(C187,'Lookups'!$A$7:$A$8,'Lookups'!$B$7:$B$8,"Unmapped",0)</x:f>
        <x:v>Deposit operations</x:v>
      </x:c>
      <x:c r="N187" s="14" t="n">
        <x:f>DATE(YEAR(B187),MONTH(B187),1)</x:f>
        <x:v>46266</x:v>
      </x:c>
    </x:row>
    <x:row r="188" ht="55" customHeight="1">
      <x:c r="A188" s="13" t="str">
        <x:v>28676267</x:v>
      </x:c>
      <x:c r="B188" s="14" t="d">
        <x:v>2026-09-30T00:00:00.000Z</x:v>
      </x:c>
      <x:c r="C188" s="15" t="str">
        <x:v>Checking or savings account</x:v>
      </x:c>
      <x:c r="D188" s="15" t="str">
        <x:v>Incorrect information on your report</x:v>
      </x:c>
      <x:c r="E188" s="15" t="str">
        <x:v>MoneyLion Inc.</x:v>
      </x:c>
      <x:c r="F188" s="15" t="str">
        <x:v>GA</x:v>
      </x:c>
      <x:c r="G188" s="15" t="str">
        <x:v>Yes</x:v>
      </x:c>
      <x:c r="H188" s="15" t="str">
        <x:v>Closed with explanation</x:v>
      </x:c>
      <x:c r="I188" s="15" t="str">
        <x:v>Web</x:v>
      </x:c>
      <x:c r="J188" s="16" t="d">
        <x:v>2026-09-30T00:00:00.000Z</x:v>
      </x:c>
      <x:c r="K188" s="15" t="str">
        <x:v>Other banking product or service</x:v>
      </x:c>
      <x:c r="L188" s="15" t="str">
        <x:v>Information belongs to someone else</x:v>
      </x:c>
      <x:c r="M188" s="15" t="str">
        <x:f>_xlfn.XLOOKUP(C188,'Lookups'!$A$7:$A$8,'Lookups'!$B$7:$B$8,"Unmapped",0)</x:f>
        <x:v>Deposit operations</x:v>
      </x:c>
      <x:c r="N188" s="14" t="n">
        <x:f>DATE(YEAR(B188),MONTH(B188),1)</x:f>
        <x:v>46266</x:v>
      </x:c>
    </x:row>
    <x:row r="189" ht="55" customHeight="1">
      <x:c r="A189" s="13" t="str">
        <x:v>28676297</x:v>
      </x:c>
      <x:c r="B189" s="14" t="d">
        <x:v>2026-09-30T00:00:00.000Z</x:v>
      </x:c>
      <x:c r="C189" s="15" t="str">
        <x:v>Checking or savings account</x:v>
      </x:c>
      <x:c r="D189" s="15" t="str">
        <x:v>Managing an account</x:v>
      </x:c>
      <x:c r="E189" s="15" t="str">
        <x:v>PNC Bank N.A.</x:v>
      </x:c>
      <x:c r="F189" s="15" t="str">
        <x:v>PA</x:v>
      </x:c>
      <x:c r="G189" s="15" t="str">
        <x:v>Yes</x:v>
      </x:c>
      <x:c r="H189" s="15" t="str">
        <x:v>In progress</x:v>
      </x:c>
      <x:c r="I189" s="15" t="str">
        <x:v>Web</x:v>
      </x:c>
      <x:c r="J189" s="16" t="d">
        <x:v>2026-09-30T00:00:00.000Z</x:v>
      </x:c>
      <x:c r="K189" s="15" t="str">
        <x:v>Savings account</x:v>
      </x:c>
      <x:c r="L189" s="15" t="str">
        <x:v>Deposits and withdrawals</x:v>
      </x:c>
      <x:c r="M189" s="15" t="str">
        <x:f>_xlfn.XLOOKUP(C189,'Lookups'!$A$7:$A$8,'Lookups'!$B$7:$B$8,"Unmapped",0)</x:f>
        <x:v>Deposit operations</x:v>
      </x:c>
      <x:c r="N189" s="14" t="n">
        <x:f>DATE(YEAR(B189),MONTH(B189),1)</x:f>
        <x:v>46266</x:v>
      </x:c>
    </x:row>
    <x:row r="190" ht="55" customHeight="1">
      <x:c r="A190" s="13" t="str">
        <x:v>28676336</x:v>
      </x:c>
      <x:c r="B190" s="14" t="d">
        <x:v>2026-09-30T00:00:00.000Z</x:v>
      </x:c>
      <x:c r="C190" s="15" t="str">
        <x:v>Checking or savings account</x:v>
      </x:c>
      <x:c r="D190" s="15" t="str">
        <x:v>Managing an account</x:v>
      </x:c>
      <x:c r="E190" s="15" t="str">
        <x:v>CAPITAL ONE FINANCIAL CORPORATION</x:v>
      </x:c>
      <x:c r="F190" s="15" t="str">
        <x:v>FL</x:v>
      </x:c>
      <x:c r="G190" s="15" t="str">
        <x:v>Yes</x:v>
      </x:c>
      <x:c r="H190" s="15" t="str">
        <x:v>In progress</x:v>
      </x:c>
      <x:c r="I190" s="15" t="str">
        <x:v>Web</x:v>
      </x:c>
      <x:c r="J190" s="16" t="d">
        <x:v>2026-09-30T00:00:00.000Z</x:v>
      </x:c>
      <x:c r="K190" s="15" t="str">
        <x:v>Other banking product or service</x:v>
      </x:c>
      <x:c r="L190" s="15" t="str">
        <x:v>Problem accessing account</x:v>
      </x:c>
      <x:c r="M190" s="15" t="str">
        <x:f>_xlfn.XLOOKUP(C190,'Lookups'!$A$7:$A$8,'Lookups'!$B$7:$B$8,"Unmapped",0)</x:f>
        <x:v>Deposit operations</x:v>
      </x:c>
      <x:c r="N190" s="14" t="n">
        <x:f>DATE(YEAR(B190),MONTH(B190),1)</x:f>
        <x:v>46266</x:v>
      </x:c>
    </x:row>
    <x:row r="191" ht="55" customHeight="1">
      <x:c r="A191" s="13" t="str">
        <x:v>28676513</x:v>
      </x:c>
      <x:c r="B191" s="14" t="d">
        <x:v>2026-09-30T00:00:00.000Z</x:v>
      </x:c>
      <x:c r="C191" s="15" t="str">
        <x:v>Checking or savings account</x:v>
      </x:c>
      <x:c r="D191" s="15" t="str">
        <x:v>Managing an account</x:v>
      </x:c>
      <x:c r="E191" s="15" t="str">
        <x:v>BANK OF AMERICA, NATIONAL ASSOCIATION</x:v>
      </x:c>
      <x:c r="F191" s="15" t="str">
        <x:v>MA</x:v>
      </x:c>
      <x:c r="G191" s="15" t="str">
        <x:v>Yes</x:v>
      </x:c>
      <x:c r="H191" s="15" t="str">
        <x:v>In progress</x:v>
      </x:c>
      <x:c r="I191" s="15" t="str">
        <x:v>Web</x:v>
      </x:c>
      <x:c r="J191" s="16" t="d">
        <x:v>2026-09-30T00:00:00.000Z</x:v>
      </x:c>
      <x:c r="K191" s="15" t="str">
        <x:v>Checking account</x:v>
      </x:c>
      <x:c r="L191" s="15" t="str">
        <x:v>Problem using a debit or ATM card</x:v>
      </x:c>
      <x:c r="M191" s="15" t="str">
        <x:f>_xlfn.XLOOKUP(C191,'Lookups'!$A$7:$A$8,'Lookups'!$B$7:$B$8,"Unmapped",0)</x:f>
        <x:v>Deposit operations</x:v>
      </x:c>
      <x:c r="N191" s="14" t="n">
        <x:f>DATE(YEAR(B191),MONTH(B191),1)</x:f>
        <x:v>46266</x:v>
      </x:c>
    </x:row>
    <x:row r="192" ht="55" customHeight="1">
      <x:c r="A192" s="13" t="str">
        <x:v>28676771</x:v>
      </x:c>
      <x:c r="B192" s="14" t="d">
        <x:v>2026-09-30T00:00:00.000Z</x:v>
      </x:c>
      <x:c r="C192" s="15" t="str">
        <x:v>Checking or savings account</x:v>
      </x:c>
      <x:c r="D192" s="15" t="str">
        <x:v>Problem caused by your funds being low</x:v>
      </x:c>
      <x:c r="E192" s="15" t="str">
        <x:v>Chime Financial Inc</x:v>
      </x:c>
      <x:c r="F192" s="15" t="str">
        <x:v>MI</x:v>
      </x:c>
      <x:c r="G192" s="15" t="str">
        <x:v>Yes</x:v>
      </x:c>
      <x:c r="H192" s="15" t="str">
        <x:v>Closed with explanation</x:v>
      </x:c>
      <x:c r="I192" s="15" t="str">
        <x:v>Web</x:v>
      </x:c>
      <x:c r="J192" s="16" t="d">
        <x:v>2026-09-30T00:00:00.000Z</x:v>
      </x:c>
      <x:c r="K192" s="15" t="str">
        <x:v>Other banking product or service</x:v>
      </x:c>
      <x:c r="L192" s="15" t="str">
        <x:v>Late or other fees</x:v>
      </x:c>
      <x:c r="M192" s="15" t="str">
        <x:f>_xlfn.XLOOKUP(C192,'Lookups'!$A$7:$A$8,'Lookups'!$B$7:$B$8,"Unmapped",0)</x:f>
        <x:v>Deposit operations</x:v>
      </x:c>
      <x:c r="N192" s="14" t="n">
        <x:f>DATE(YEAR(B192),MONTH(B192),1)</x:f>
        <x:v>46266</x:v>
      </x:c>
    </x:row>
    <x:row r="193" ht="55" customHeight="1">
      <x:c r="A193" s="13" t="str">
        <x:v>28678073</x:v>
      </x:c>
      <x:c r="B193" s="14" t="d">
        <x:v>2026-09-30T00:00:00.000Z</x:v>
      </x:c>
      <x:c r="C193" s="15" t="str">
        <x:v>Credit card</x:v>
      </x:c>
      <x:c r="D193" s="15" t="str">
        <x:v>Problem with a purchase shown on your statement</x:v>
      </x:c>
      <x:c r="E193" s="15" t="str">
        <x:v>JPMORGAN CHASE &amp; CO.</x:v>
      </x:c>
      <x:c r="F193" s="15" t="str">
        <x:v>FL</x:v>
      </x:c>
      <x:c r="G193" s="15" t="str">
        <x:v>Yes</x:v>
      </x:c>
      <x:c r="H193" s="15" t="str">
        <x:v>In progress</x:v>
      </x:c>
      <x:c r="I193" s="15" t="str">
        <x:v>Web</x:v>
      </x:c>
      <x:c r="J193" s="16" t="d">
        <x:v>2026-09-30T00:00:00.000Z</x:v>
      </x:c>
      <x:c r="K193" s="15" t="str">
        <x:v>General-purpose credit card or charge card</x:v>
      </x:c>
      <x:c r="L193" s="15" t="str">
        <x:v>Credit card company isn't resolving a dispute about a purchase on your statement</x:v>
      </x:c>
      <x:c r="M193" s="15" t="str">
        <x:f>_xlfn.XLOOKUP(C193,'Lookups'!$A$7:$A$8,'Lookups'!$B$7:$B$8,"Unmapped",0)</x:f>
        <x:v>Card operations</x:v>
      </x:c>
      <x:c r="N193" s="14" t="n">
        <x:f>DATE(YEAR(B193),MONTH(B193),1)</x:f>
        <x:v>46266</x:v>
      </x:c>
    </x:row>
    <x:row r="194" ht="55" customHeight="1">
      <x:c r="A194" s="13" t="str">
        <x:v>28678165</x:v>
      </x:c>
      <x:c r="B194" s="14" t="d">
        <x:v>2026-09-30T00:00:00.000Z</x:v>
      </x:c>
      <x:c r="C194" s="15" t="str">
        <x:v>Credit card</x:v>
      </x:c>
      <x:c r="D194" s="15" t="str">
        <x:v>Problem with a company's investigation into an existing problem</x:v>
      </x:c>
      <x:c r="E194" s="15" t="str">
        <x:v>CAPITAL ONE FINANCIAL CORPORATION</x:v>
      </x:c>
      <x:c r="F194" s="15" t="str">
        <x:v>GA</x:v>
      </x:c>
      <x:c r="G194" s="15" t="str">
        <x:v>Yes</x:v>
      </x:c>
      <x:c r="H194" s="15" t="str">
        <x:v>In progress</x:v>
      </x:c>
      <x:c r="I194" s="15" t="str">
        <x:v>Web</x:v>
      </x:c>
      <x:c r="J194" s="16" t="d">
        <x:v>2026-09-30T00:00:00.000Z</x:v>
      </x:c>
      <x:c r="K194" s="15" t="str">
        <x:v>General-purpose credit card or charge card</x:v>
      </x:c>
      <x:c r="L194" s="15" t="str">
        <x:v>Their investigation did not fix an error on your report</x:v>
      </x:c>
      <x:c r="M194" s="15" t="str">
        <x:f>_xlfn.XLOOKUP(C194,'Lookups'!$A$7:$A$8,'Lookups'!$B$7:$B$8,"Unmapped",0)</x:f>
        <x:v>Card operations</x:v>
      </x:c>
      <x:c r="N194" s="14" t="n">
        <x:f>DATE(YEAR(B194),MONTH(B194),1)</x:f>
        <x:v>46266</x:v>
      </x:c>
    </x:row>
    <x:row r="195" ht="55" customHeight="1">
      <x:c r="A195" s="13" t="str">
        <x:v>28678173</x:v>
      </x:c>
      <x:c r="B195" s="14" t="d">
        <x:v>2026-09-30T00:00:00.000Z</x:v>
      </x:c>
      <x:c r="C195" s="15" t="str">
        <x:v>Credit card</x:v>
      </x:c>
      <x:c r="D195" s="15" t="str">
        <x:v>Other features, terms, or problems</x:v>
      </x:c>
      <x:c r="E195" s="15" t="str">
        <x:v>FIFTH THIRD FINANCIAL CORPORATION</x:v>
      </x:c>
      <x:c r="F195" s="15" t="str">
        <x:v>PR</x:v>
      </x:c>
      <x:c r="G195" s="15" t="str">
        <x:v>Yes</x:v>
      </x:c>
      <x:c r="H195" s="15" t="str">
        <x:v>In progress</x:v>
      </x:c>
      <x:c r="I195" s="15" t="str">
        <x:v>Web</x:v>
      </x:c>
      <x:c r="J195" s="16" t="d">
        <x:v>2026-09-30T00:00:00.000Z</x:v>
      </x:c>
      <x:c r="K195" s="15" t="str">
        <x:v>General-purpose credit card or charge card</x:v>
      </x:c>
      <x:c r="L195" s="15" t="str">
        <x:v>Privacy issues</x:v>
      </x:c>
      <x:c r="M195" s="15" t="str">
        <x:f>_xlfn.XLOOKUP(C195,'Lookups'!$A$7:$A$8,'Lookups'!$B$7:$B$8,"Unmapped",0)</x:f>
        <x:v>Card operations</x:v>
      </x:c>
      <x:c r="N195" s="14" t="n">
        <x:f>DATE(YEAR(B195),MONTH(B195),1)</x:f>
        <x:v>46266</x:v>
      </x:c>
    </x:row>
    <x:row r="196" ht="55" customHeight="1">
      <x:c r="A196" s="13" t="str">
        <x:v>28678239</x:v>
      </x:c>
      <x:c r="B196" s="14" t="d">
        <x:v>2026-09-30T00:00:00.000Z</x:v>
      </x:c>
      <x:c r="C196" s="15" t="str">
        <x:v>Credit card</x:v>
      </x:c>
      <x:c r="D196" s="15" t="str">
        <x:v>Problem with a company's investigation into an existing problem</x:v>
      </x:c>
      <x:c r="E196" s="15" t="str">
        <x:v>CAPITAL ONE FINANCIAL CORPORATION</x:v>
      </x:c>
      <x:c r="F196" s="15" t="str">
        <x:v>AL</x:v>
      </x:c>
      <x:c r="G196" s="15" t="str">
        <x:v>Yes</x:v>
      </x:c>
      <x:c r="H196" s="15" t="str">
        <x:v>In progress</x:v>
      </x:c>
      <x:c r="I196" s="15" t="str">
        <x:v>Web</x:v>
      </x:c>
      <x:c r="J196" s="16" t="d">
        <x:v>2026-09-30T00:00:00.000Z</x:v>
      </x:c>
      <x:c r="K196" s="15" t="str">
        <x:v>General-purpose credit card or charge card</x:v>
      </x:c>
      <x:c r="L196" s="15" t="str">
        <x:v>Problem with personal statement of dispute</x:v>
      </x:c>
      <x:c r="M196" s="15" t="str">
        <x:f>_xlfn.XLOOKUP(C196,'Lookups'!$A$7:$A$8,'Lookups'!$B$7:$B$8,"Unmapped",0)</x:f>
        <x:v>Card operations</x:v>
      </x:c>
      <x:c r="N196" s="14" t="n">
        <x:f>DATE(YEAR(B196),MONTH(B196),1)</x:f>
        <x:v>46266</x:v>
      </x:c>
    </x:row>
    <x:row r="197" ht="55" customHeight="1">
      <x:c r="A197" s="13" t="str">
        <x:v>28678254</x:v>
      </x:c>
      <x:c r="B197" s="14" t="d">
        <x:v>2026-09-30T00:00:00.000Z</x:v>
      </x:c>
      <x:c r="C197" s="15" t="str">
        <x:v>Credit card</x:v>
      </x:c>
      <x:c r="D197" s="15" t="str">
        <x:v>Getting a credit card</x:v>
      </x:c>
      <x:c r="E197" s="15" t="str">
        <x:v>BANK OF AMERICA, NATIONAL ASSOCIATION</x:v>
      </x:c>
      <x:c r="F197" s="15" t="str">
        <x:v>NJ</x:v>
      </x:c>
      <x:c r="G197" s="15" t="str">
        <x:v>Yes</x:v>
      </x:c>
      <x:c r="H197" s="15" t="str">
        <x:v>In progress</x:v>
      </x:c>
      <x:c r="I197" s="15" t="str">
        <x:v>Web</x:v>
      </x:c>
      <x:c r="J197" s="16" t="d">
        <x:v>2026-09-30T00:00:00.000Z</x:v>
      </x:c>
      <x:c r="K197" s="15" t="str">
        <x:v>General-purpose credit card or charge card</x:v>
      </x:c>
      <x:c r="L197" s="15" t="str">
        <x:v>Card opened without my consent or knowledge</x:v>
      </x:c>
      <x:c r="M197" s="15" t="str">
        <x:f>_xlfn.XLOOKUP(C197,'Lookups'!$A$7:$A$8,'Lookups'!$B$7:$B$8,"Unmapped",0)</x:f>
        <x:v>Card operations</x:v>
      </x:c>
      <x:c r="N197" s="14" t="n">
        <x:f>DATE(YEAR(B197),MONTH(B197),1)</x:f>
        <x:v>46266</x:v>
      </x:c>
    </x:row>
    <x:row r="198" ht="55" customHeight="1">
      <x:c r="A198" s="13" t="str">
        <x:v>28678395</x:v>
      </x:c>
      <x:c r="B198" s="14" t="d">
        <x:v>2026-09-30T00:00:00.000Z</x:v>
      </x:c>
      <x:c r="C198" s="15" t="str">
        <x:v>Credit card</x:v>
      </x:c>
      <x:c r="D198" s="15" t="str">
        <x:v>Problem with a purchase shown on your statement</x:v>
      </x:c>
      <x:c r="E198" s="15" t="str">
        <x:v>NAVY FEDERAL CREDIT UNION</x:v>
      </x:c>
      <x:c r="F198" s="15" t="str">
        <x:v>FL</x:v>
      </x:c>
      <x:c r="G198" s="15" t="str">
        <x:v>Yes</x:v>
      </x:c>
      <x:c r="H198" s="15" t="str">
        <x:v>In progress</x:v>
      </x:c>
      <x:c r="I198" s="15" t="str">
        <x:v>Web</x:v>
      </x:c>
      <x:c r="J198" s="16" t="d">
        <x:v>2026-09-30T00:00:00.000Z</x:v>
      </x:c>
      <x:c r="K198" s="15" t="str">
        <x:v>General-purpose credit card or charge card</x:v>
      </x:c>
      <x:c r="L198" s="15" t="str">
        <x:v>Credit card company isn't resolving a dispute about a purchase on your statement</x:v>
      </x:c>
      <x:c r="M198" s="15" t="str">
        <x:f>_xlfn.XLOOKUP(C198,'Lookups'!$A$7:$A$8,'Lookups'!$B$7:$B$8,"Unmapped",0)</x:f>
        <x:v>Card operations</x:v>
      </x:c>
      <x:c r="N198" s="14" t="n">
        <x:f>DATE(YEAR(B198),MONTH(B198),1)</x:f>
        <x:v>46266</x:v>
      </x:c>
    </x:row>
    <x:row r="199" ht="55" customHeight="1">
      <x:c r="A199" s="13" t="str">
        <x:v>28678548</x:v>
      </x:c>
      <x:c r="B199" s="14" t="d">
        <x:v>2026-09-30T00:00:00.000Z</x:v>
      </x:c>
      <x:c r="C199" s="15" t="str">
        <x:v>Credit card</x:v>
      </x:c>
      <x:c r="D199" s="15" t="str">
        <x:v>Problem when making payments</x:v>
      </x:c>
      <x:c r="E199" s="15" t="str">
        <x:v>WELLS FARGO &amp; COMPANY</x:v>
      </x:c>
      <x:c r="F199" s="15" t="str">
        <x:v>NY</x:v>
      </x:c>
      <x:c r="G199" s="15" t="str">
        <x:v>Yes</x:v>
      </x:c>
      <x:c r="H199" s="15" t="str">
        <x:v>In progress</x:v>
      </x:c>
      <x:c r="I199" s="15" t="str">
        <x:v>Phone</x:v>
      </x:c>
      <x:c r="J199" s="16" t="d">
        <x:v>2026-09-30T00:00:00.000Z</x:v>
      </x:c>
      <x:c r="K199" s="15" t="str">
        <x:v>General-purpose credit card or charge card</x:v>
      </x:c>
      <x:c r="L199" s="15" t="str">
        <x:v>Problem during payment process</x:v>
      </x:c>
      <x:c r="M199" s="15" t="str">
        <x:f>_xlfn.XLOOKUP(C199,'Lookups'!$A$7:$A$8,'Lookups'!$B$7:$B$8,"Unmapped",0)</x:f>
        <x:v>Card operations</x:v>
      </x:c>
      <x:c r="N199" s="14" t="n">
        <x:f>DATE(YEAR(B199),MONTH(B199),1)</x:f>
        <x:v>46266</x:v>
      </x:c>
    </x:row>
    <x:row r="200" ht="55" customHeight="1">
      <x:c r="A200" s="13" t="str">
        <x:v>28678786</x:v>
      </x:c>
      <x:c r="B200" s="14" t="d">
        <x:v>2026-09-30T00:00:00.000Z</x:v>
      </x:c>
      <x:c r="C200" s="15" t="str">
        <x:v>Credit card</x:v>
      </x:c>
      <x:c r="D200" s="15" t="str">
        <x:v>Other features, terms, or problems</x:v>
      </x:c>
      <x:c r="E200" s="15" t="str">
        <x:v>SYNCHRONY FINANCIAL</x:v>
      </x:c>
      <x:c r="F200" s="15" t="str">
        <x:v>MN</x:v>
      </x:c>
      <x:c r="G200" s="15" t="str">
        <x:v>Yes</x:v>
      </x:c>
      <x:c r="H200" s="15" t="str">
        <x:v>In progress</x:v>
      </x:c>
      <x:c r="I200" s="15" t="str">
        <x:v>Web</x:v>
      </x:c>
      <x:c r="J200" s="16" t="d">
        <x:v>2026-09-30T00:00:00.000Z</x:v>
      </x:c>
      <x:c r="K200" s="15" t="str">
        <x:v>Store credit card</x:v>
      </x:c>
      <x:c r="L200" s="15" t="str">
        <x:v>Add-on products and services</x:v>
      </x:c>
      <x:c r="M200" s="15" t="str">
        <x:f>_xlfn.XLOOKUP(C200,'Lookups'!$A$7:$A$8,'Lookups'!$B$7:$B$8,"Unmapped",0)</x:f>
        <x:v>Card operations</x:v>
      </x:c>
      <x:c r="N200" s="14" t="n">
        <x:f>DATE(YEAR(B200),MONTH(B200),1)</x:f>
        <x:v>46266</x:v>
      </x:c>
    </x:row>
    <x:row r="201" ht="55" customHeight="1">
      <x:c r="A201" s="13" t="str">
        <x:v>28678851</x:v>
      </x:c>
      <x:c r="B201" s="14" t="d">
        <x:v>2026-09-30T00:00:00.000Z</x:v>
      </x:c>
      <x:c r="C201" s="15" t="str">
        <x:v>Credit card</x:v>
      </x:c>
      <x:c r="D201" s="15" t="str">
        <x:v>Problem with a purchase shown on your statement</x:v>
      </x:c>
      <x:c r="E201" s="15" t="str">
        <x:v>GOLDMAN SACHS BANK USA</x:v>
      </x:c>
      <x:c r="F201" s="15" t="str">
        <x:v>OH</x:v>
      </x:c>
      <x:c r="G201" s="15" t="str">
        <x:v>Yes</x:v>
      </x:c>
      <x:c r="H201" s="15" t="str">
        <x:v>Closed with monetary relief</x:v>
      </x:c>
      <x:c r="I201" s="15" t="str">
        <x:v>Web</x:v>
      </x:c>
      <x:c r="J201" s="16" t="d">
        <x:v>2026-09-30T00:00:00.000Z</x:v>
      </x:c>
      <x:c r="K201" s="15" t="str">
        <x:v>General-purpose credit card or charge card</x:v>
      </x:c>
      <x:c r="L201" s="15" t="str">
        <x:v>Credit card company isn't resolving a dispute about a purchase on your statement</x:v>
      </x:c>
      <x:c r="M201" s="15" t="str">
        <x:f>_xlfn.XLOOKUP(C201,'Lookups'!$A$7:$A$8,'Lookups'!$B$7:$B$8,"Unmapped",0)</x:f>
        <x:v>Card operations</x:v>
      </x:c>
      <x:c r="N201" s="14" t="n">
        <x:f>DATE(YEAR(B201),MONTH(B201),1)</x:f>
        <x:v>46266</x:v>
      </x:c>
    </x:row>
    <x:row r="202" ht="55" customHeight="1">
      <x:c r="A202" s="13" t="str">
        <x:v>28678955</x:v>
      </x:c>
      <x:c r="B202" s="14" t="d">
        <x:v>2026-09-30T00:00:00.000Z</x:v>
      </x:c>
      <x:c r="C202" s="15" t="str">
        <x:v>Checking or savings account</x:v>
      </x:c>
      <x:c r="D202" s="15" t="str">
        <x:v>Managing an account</x:v>
      </x:c>
      <x:c r="E202" s="15" t="str">
        <x:v>PNC Bank N.A.</x:v>
      </x:c>
      <x:c r="F202" s="15" t="str">
        <x:v>PA</x:v>
      </x:c>
      <x:c r="G202" s="15" t="str">
        <x:v>Yes</x:v>
      </x:c>
      <x:c r="H202" s="15" t="str">
        <x:v>In progress</x:v>
      </x:c>
      <x:c r="I202" s="15" t="str">
        <x:v>Web</x:v>
      </x:c>
      <x:c r="J202" s="16" t="d">
        <x:v>2026-09-30T00:00:00.000Z</x:v>
      </x:c>
      <x:c r="K202" s="15" t="str">
        <x:v>Checking account</x:v>
      </x:c>
      <x:c r="L202" s="15" t="str">
        <x:v>Problem making or receiving payments</x:v>
      </x:c>
      <x:c r="M202" s="15" t="str">
        <x:f>_xlfn.XLOOKUP(C202,'Lookups'!$A$7:$A$8,'Lookups'!$B$7:$B$8,"Unmapped",0)</x:f>
        <x:v>Deposit operations</x:v>
      </x:c>
      <x:c r="N202" s="14" t="n">
        <x:f>DATE(YEAR(B202),MONTH(B202),1)</x:f>
        <x:v>46266</x:v>
      </x:c>
    </x:row>
    <x:row r="203" ht="55" customHeight="1">
      <x:c r="A203" s="13" t="str">
        <x:v>28679111</x:v>
      </x:c>
      <x:c r="B203" s="14" t="d">
        <x:v>2026-09-30T00:00:00.000Z</x:v>
      </x:c>
      <x:c r="C203" s="15" t="str">
        <x:v>Credit card</x:v>
      </x:c>
      <x:c r="D203" s="15" t="str">
        <x:v>Problem with a purchase shown on your statement</x:v>
      </x:c>
      <x:c r="E203" s="15" t="str">
        <x:v>Affirm Holdings, Inc</x:v>
      </x:c>
      <x:c r="F203" s="15" t="str">
        <x:v>PA</x:v>
      </x:c>
      <x:c r="G203" s="15" t="str">
        <x:v>Yes</x:v>
      </x:c>
      <x:c r="H203" s="15" t="str">
        <x:v>Closed with explanation</x:v>
      </x:c>
      <x:c r="I203" s="15" t="str">
        <x:v>Web</x:v>
      </x:c>
      <x:c r="J203" s="16" t="d">
        <x:v>2026-09-30T00:00:00.000Z</x:v>
      </x:c>
      <x:c r="K203" s="15" t="str">
        <x:v>General-purpose credit card or charge card</x:v>
      </x:c>
      <x:c r="L203" s="15" t="str">
        <x:v>Credit card company isn't resolving a dispute about a purchase on your statement</x:v>
      </x:c>
      <x:c r="M203" s="15" t="str">
        <x:f>_xlfn.XLOOKUP(C203,'Lookups'!$A$7:$A$8,'Lookups'!$B$7:$B$8,"Unmapped",0)</x:f>
        <x:v>Card operations</x:v>
      </x:c>
      <x:c r="N203" s="14" t="n">
        <x:f>DATE(YEAR(B203),MONTH(B203),1)</x:f>
        <x:v>46266</x:v>
      </x:c>
    </x:row>
    <x:row r="204" ht="55" customHeight="1">
      <x:c r="A204" s="13" t="str">
        <x:v>28680159</x:v>
      </x:c>
      <x:c r="B204" s="14" t="d">
        <x:v>2026-09-30T00:00:00.000Z</x:v>
      </x:c>
      <x:c r="C204" s="15" t="str">
        <x:v>Checking or savings account</x:v>
      </x:c>
      <x:c r="D204" s="15" t="str">
        <x:v>Problem with a lender or other company charging your account</x:v>
      </x:c>
      <x:c r="E204" s="15" t="str">
        <x:v>CAPITAL ONE FINANCIAL CORPORATION</x:v>
      </x:c>
      <x:c r="F204" s="15" t="str">
        <x:v>FL</x:v>
      </x:c>
      <x:c r="G204" s="15" t="str">
        <x:v>Yes</x:v>
      </x:c>
      <x:c r="H204" s="15" t="str">
        <x:v>In progress</x:v>
      </x:c>
      <x:c r="I204" s="15" t="str">
        <x:v>Web</x:v>
      </x:c>
      <x:c r="J204" s="16" t="d">
        <x:v>2026-09-30T00:00:00.000Z</x:v>
      </x:c>
      <x:c r="K204" s="15" t="str">
        <x:v>Checking account</x:v>
      </x:c>
      <x:c r="L204" s="15" t="str">
        <x:v>Transaction was not authorized</x:v>
      </x:c>
      <x:c r="M204" s="15" t="str">
        <x:f>_xlfn.XLOOKUP(C204,'Lookups'!$A$7:$A$8,'Lookups'!$B$7:$B$8,"Unmapped",0)</x:f>
        <x:v>Deposit operations</x:v>
      </x:c>
      <x:c r="N204" s="14" t="n">
        <x:f>DATE(YEAR(B204),MONTH(B204),1)</x:f>
        <x:v>46266</x:v>
      </x:c>
    </x:row>
    <x:row r="205" ht="55" customHeight="1">
      <x:c r="A205" s="13" t="str">
        <x:v>28680210</x:v>
      </x:c>
      <x:c r="B205" s="14" t="d">
        <x:v>2026-09-30T00:00:00.000Z</x:v>
      </x:c>
      <x:c r="C205" s="15" t="str">
        <x:v>Credit card</x:v>
      </x:c>
      <x:c r="D205" s="15" t="str">
        <x:v>Getting a credit card</x:v>
      </x:c>
      <x:c r="E205" s="15" t="str">
        <x:v>TRANSUNION INTERMEDIATE HOLDINGS, INC.</x:v>
      </x:c>
      <x:c r="F205" s="15" t="str">
        <x:v>FL</x:v>
      </x:c>
      <x:c r="G205" s="15" t="str">
        <x:v>Yes</x:v>
      </x:c>
      <x:c r="H205" s="15" t="str">
        <x:v>In progress</x:v>
      </x:c>
      <x:c r="I205" s="15" t="str">
        <x:v>Web</x:v>
      </x:c>
      <x:c r="J205" s="16" t="d">
        <x:v>2026-09-30T00:00:00.000Z</x:v>
      </x:c>
      <x:c r="K205" s="15" t="str">
        <x:v>General-purpose credit card or charge card</x:v>
      </x:c>
      <x:c r="L205" s="15" t="str">
        <x:v>Card opened without my consent or knowledge</x:v>
      </x:c>
      <x:c r="M205" s="15" t="str">
        <x:f>_xlfn.XLOOKUP(C205,'Lookups'!$A$7:$A$8,'Lookups'!$B$7:$B$8,"Unmapped",0)</x:f>
        <x:v>Card operations</x:v>
      </x:c>
      <x:c r="N205" s="14" t="n">
        <x:f>DATE(YEAR(B205),MONTH(B205),1)</x:f>
        <x:v>46266</x:v>
      </x:c>
    </x:row>
    <x:row r="206" ht="55" customHeight="1">
      <x:c r="A206" s="13" t="str">
        <x:v>28680347</x:v>
      </x:c>
      <x:c r="B206" s="14" t="d">
        <x:v>2026-09-30T00:00:00.000Z</x:v>
      </x:c>
      <x:c r="C206" s="15" t="str">
        <x:v>Checking or savings account</x:v>
      </x:c>
      <x:c r="D206" s="15" t="str">
        <x:v>Opening an account</x:v>
      </x:c>
      <x:c r="E206" s="15" t="str">
        <x:v>JPMORGAN CHASE &amp; CO.</x:v>
      </x:c>
      <x:c r="F206" s="15" t="str">
        <x:v>MA</x:v>
      </x:c>
      <x:c r="G206" s="15" t="str">
        <x:v>Yes</x:v>
      </x:c>
      <x:c r="H206" s="15" t="str">
        <x:v>Closed with monetary relief</x:v>
      </x:c>
      <x:c r="I206" s="15" t="str">
        <x:v>Web</x:v>
      </x:c>
      <x:c r="J206" s="16" t="d">
        <x:v>2026-09-30T00:00:00.000Z</x:v>
      </x:c>
      <x:c r="K206" s="15" t="str">
        <x:v>Checking account</x:v>
      </x:c>
      <x:c r="L206" s="15" t="str">
        <x:v>Didn't receive terms that were advertised</x:v>
      </x:c>
      <x:c r="M206" s="15" t="str">
        <x:f>_xlfn.XLOOKUP(C206,'Lookups'!$A$7:$A$8,'Lookups'!$B$7:$B$8,"Unmapped",0)</x:f>
        <x:v>Deposit operations</x:v>
      </x:c>
      <x:c r="N206" s="14" t="n">
        <x:f>DATE(YEAR(B206),MONTH(B206),1)</x:f>
        <x:v>46266</x:v>
      </x:c>
    </x:row>
    <x:row r="207" ht="55" customHeight="1">
      <x:c r="A207" s="13" t="str">
        <x:v>28680430</x:v>
      </x:c>
      <x:c r="B207" s="14" t="d">
        <x:v>2026-09-30T00:00:00.000Z</x:v>
      </x:c>
      <x:c r="C207" s="15" t="str">
        <x:v>Checking or savings account</x:v>
      </x:c>
      <x:c r="D207" s="15" t="str">
        <x:v>Managing an account</x:v>
      </x:c>
      <x:c r="E207" s="15" t="str">
        <x:v>NAVY FEDERAL CREDIT UNION</x:v>
      </x:c>
      <x:c r="F207" s="15" t="str">
        <x:v>VA</x:v>
      </x:c>
      <x:c r="G207" s="15" t="str">
        <x:v>Yes</x:v>
      </x:c>
      <x:c r="H207" s="15" t="str">
        <x:v>In progress</x:v>
      </x:c>
      <x:c r="I207" s="15" t="str">
        <x:v>Web</x:v>
      </x:c>
      <x:c r="J207" s="16" t="d">
        <x:v>2026-09-30T00:00:00.000Z</x:v>
      </x:c>
      <x:c r="K207" s="15" t="str">
        <x:v>Checking account</x:v>
      </x:c>
      <x:c r="L207" s="15" t="str">
        <x:v>Problem using a debit or ATM card</x:v>
      </x:c>
      <x:c r="M207" s="15" t="str">
        <x:f>_xlfn.XLOOKUP(C207,'Lookups'!$A$7:$A$8,'Lookups'!$B$7:$B$8,"Unmapped",0)</x:f>
        <x:v>Deposit operations</x:v>
      </x:c>
      <x:c r="N207" s="14" t="n">
        <x:f>DATE(YEAR(B207),MONTH(B207),1)</x:f>
        <x:v>46266</x:v>
      </x:c>
    </x:row>
    <x:row r="208" ht="55" customHeight="1">
      <x:c r="A208" s="13" t="str">
        <x:v>28680718</x:v>
      </x:c>
      <x:c r="B208" s="14" t="d">
        <x:v>2026-09-30T00:00:00.000Z</x:v>
      </x:c>
      <x:c r="C208" s="15" t="str">
        <x:v>Checking or savings account</x:v>
      </x:c>
      <x:c r="D208" s="15" t="str">
        <x:v>Opening an account</x:v>
      </x:c>
      <x:c r="E208" s="15" t="str">
        <x:v>Fidelity National Information Services, Inc. (FNIS)</x:v>
      </x:c>
      <x:c r="F208" s="15" t="str">
        <x:v>SC</x:v>
      </x:c>
      <x:c r="G208" s="15" t="str">
        <x:v>Yes</x:v>
      </x:c>
      <x:c r="H208" s="15" t="str">
        <x:v>Closed with explanation</x:v>
      </x:c>
      <x:c r="I208" s="15" t="str">
        <x:v>Web</x:v>
      </x:c>
      <x:c r="J208" s="16" t="d">
        <x:v>2026-09-30T00:00:00.000Z</x:v>
      </x:c>
      <x:c r="K208" s="15" t="str">
        <x:v>Checking account</x:v>
      </x:c>
      <x:c r="L208" s="15" t="str">
        <x:v>Account opened without my consent or knowledge</x:v>
      </x:c>
      <x:c r="M208" s="15" t="str">
        <x:f>_xlfn.XLOOKUP(C208,'Lookups'!$A$7:$A$8,'Lookups'!$B$7:$B$8,"Unmapped",0)</x:f>
        <x:v>Deposit operations</x:v>
      </x:c>
      <x:c r="N208" s="14" t="n">
        <x:f>DATE(YEAR(B208),MONTH(B208),1)</x:f>
        <x:v>46266</x:v>
      </x:c>
    </x:row>
    <x:row r="209" ht="55" customHeight="1">
      <x:c r="A209" s="13" t="str">
        <x:v>28680813</x:v>
      </x:c>
      <x:c r="B209" s="14" t="d">
        <x:v>2026-09-30T00:00:00.000Z</x:v>
      </x:c>
      <x:c r="C209" s="15" t="str">
        <x:v>Checking or savings account</x:v>
      </x:c>
      <x:c r="D209" s="15" t="str">
        <x:v>Problem with a lender or other company charging your account</x:v>
      </x:c>
      <x:c r="E209" s="15" t="str">
        <x:v>FinCo Services Inc DBA Current</x:v>
      </x:c>
      <x:c r="F209" s="15" t="str">
        <x:v>OH</x:v>
      </x:c>
      <x:c r="G209" s="15" t="str">
        <x:v>Yes</x:v>
      </x:c>
      <x:c r="H209" s="15" t="str">
        <x:v>In progress</x:v>
      </x:c>
      <x:c r="I209" s="15" t="str">
        <x:v>Web</x:v>
      </x:c>
      <x:c r="J209" s="16" t="d">
        <x:v>2026-09-30T00:00:00.000Z</x:v>
      </x:c>
      <x:c r="K209" s="15" t="str">
        <x:v>Checking account</x:v>
      </x:c>
      <x:c r="L209" s="15" t="str">
        <x:v>Transaction was not authorized</x:v>
      </x:c>
      <x:c r="M209" s="15" t="str">
        <x:f>_xlfn.XLOOKUP(C209,'Lookups'!$A$7:$A$8,'Lookups'!$B$7:$B$8,"Unmapped",0)</x:f>
        <x:v>Deposit operations</x:v>
      </x:c>
      <x:c r="N209" s="14" t="n">
        <x:f>DATE(YEAR(B209),MONTH(B209),1)</x:f>
        <x:v>46266</x:v>
      </x:c>
    </x:row>
    <x:row r="210" ht="55" customHeight="1">
      <x:c r="A210" s="13" t="str">
        <x:v>28680831</x:v>
      </x:c>
      <x:c r="B210" s="14" t="d">
        <x:v>2026-09-30T00:00:00.000Z</x:v>
      </x:c>
      <x:c r="C210" s="15" t="str">
        <x:v>Credit card</x:v>
      </x:c>
      <x:c r="D210" s="15" t="str">
        <x:v>Getting a credit card</x:v>
      </x:c>
      <x:c r="E210" s="15" t="str">
        <x:v>Experian Information Solutions Inc.</x:v>
      </x:c>
      <x:c r="F210" s="15" t="str">
        <x:v>FL</x:v>
      </x:c>
      <x:c r="G210" s="15" t="str">
        <x:v>Yes</x:v>
      </x:c>
      <x:c r="H210" s="15" t="str">
        <x:v>In progress</x:v>
      </x:c>
      <x:c r="I210" s="15" t="str">
        <x:v>Web</x:v>
      </x:c>
      <x:c r="J210" s="16" t="d">
        <x:v>2026-09-30T00:00:00.000Z</x:v>
      </x:c>
      <x:c r="K210" s="15" t="str">
        <x:v>General-purpose credit card or charge card</x:v>
      </x:c>
      <x:c r="L210" s="15" t="str">
        <x:v>Card opened without my consent or knowledge</x:v>
      </x:c>
      <x:c r="M210" s="15" t="str">
        <x:f>_xlfn.XLOOKUP(C210,'Lookups'!$A$7:$A$8,'Lookups'!$B$7:$B$8,"Unmapped",0)</x:f>
        <x:v>Card operations</x:v>
      </x:c>
      <x:c r="N210" s="14" t="n">
        <x:f>DATE(YEAR(B210),MONTH(B210),1)</x:f>
        <x:v>46266</x:v>
      </x:c>
    </x:row>
    <x:row r="211" ht="55" customHeight="1">
      <x:c r="A211" s="13" t="str">
        <x:v>28681400</x:v>
      </x:c>
      <x:c r="B211" s="14" t="d">
        <x:v>2026-09-30T00:00:00.000Z</x:v>
      </x:c>
      <x:c r="C211" s="15" t="str">
        <x:v>Credit card</x:v>
      </x:c>
      <x:c r="D211" s="15" t="str">
        <x:v>Problem with a purchase shown on your statement</x:v>
      </x:c>
      <x:c r="E211" s="15" t="str">
        <x:v>Chime Financial Inc</x:v>
      </x:c>
      <x:c r="F211" s="15" t="str">
        <x:v>CA</x:v>
      </x:c>
      <x:c r="G211" s="15" t="str">
        <x:v>Yes</x:v>
      </x:c>
      <x:c r="H211" s="15" t="str">
        <x:v>In progress</x:v>
      </x:c>
      <x:c r="I211" s="15" t="str">
        <x:v>Web</x:v>
      </x:c>
      <x:c r="J211" s="16" t="d">
        <x:v>2026-09-30T00:00:00.000Z</x:v>
      </x:c>
      <x:c r="K211" s="15" t="str">
        <x:v>General-purpose credit card or charge card</x:v>
      </x:c>
      <x:c r="L211" s="15" t="str">
        <x:v>Overcharged for something you did purchase with the card</x:v>
      </x:c>
      <x:c r="M211" s="15" t="str">
        <x:f>_xlfn.XLOOKUP(C211,'Lookups'!$A$7:$A$8,'Lookups'!$B$7:$B$8,"Unmapped",0)</x:f>
        <x:v>Card operations</x:v>
      </x:c>
      <x:c r="N211" s="14" t="n">
        <x:f>DATE(YEAR(B211),MONTH(B211),1)</x:f>
        <x:v>46266</x:v>
      </x:c>
    </x:row>
    <x:row r="212" ht="55" customHeight="1">
      <x:c r="A212" s="13" t="str">
        <x:v>28681781</x:v>
      </x:c>
      <x:c r="B212" s="14" t="d">
        <x:v>2026-09-30T00:00:00.000Z</x:v>
      </x:c>
      <x:c r="C212" s="15" t="str">
        <x:v>Checking or savings account</x:v>
      </x:c>
      <x:c r="D212" s="15" t="str">
        <x:v>Problem with a lender or other company charging your account</x:v>
      </x:c>
      <x:c r="E212" s="15" t="str">
        <x:v>Albert Corporation</x:v>
      </x:c>
      <x:c r="F212" s="15" t="str">
        <x:v>PA</x:v>
      </x:c>
      <x:c r="G212" s="15" t="str">
        <x:v>Yes</x:v>
      </x:c>
      <x:c r="H212" s="15" t="str">
        <x:v>Closed with explanation</x:v>
      </x:c>
      <x:c r="I212" s="15" t="str">
        <x:v>Web</x:v>
      </x:c>
      <x:c r="J212" s="16" t="d">
        <x:v>2026-09-30T00:00:00.000Z</x:v>
      </x:c>
      <x:c r="K212" s="15" t="str">
        <x:v>Checking account</x:v>
      </x:c>
      <x:c r="L212" s="15" t="str">
        <x:v>Transaction was not authorized</x:v>
      </x:c>
      <x:c r="M212" s="15" t="str">
        <x:f>_xlfn.XLOOKUP(C212,'Lookups'!$A$7:$A$8,'Lookups'!$B$7:$B$8,"Unmapped",0)</x:f>
        <x:v>Deposit operations</x:v>
      </x:c>
      <x:c r="N212" s="14" t="n">
        <x:f>DATE(YEAR(B212),MONTH(B212),1)</x:f>
        <x:v>46266</x:v>
      </x:c>
    </x:row>
    <x:row r="213" ht="55" customHeight="1">
      <x:c r="A213" s="13" t="str">
        <x:v>28681992</x:v>
      </x:c>
      <x:c r="B213" s="14" t="d">
        <x:v>2026-09-30T00:00:00.000Z</x:v>
      </x:c>
      <x:c r="C213" s="15" t="str">
        <x:v>Checking or savings account</x:v>
      </x:c>
      <x:c r="D213" s="15" t="str">
        <x:v>Problem caused by your funds being low</x:v>
      </x:c>
      <x:c r="E213" s="15" t="str">
        <x:v>WELLS FARGO &amp; COMPANY</x:v>
      </x:c>
      <x:c r="F213" s="15" t="str">
        <x:v>FL</x:v>
      </x:c>
      <x:c r="G213" s="15" t="str">
        <x:v>Yes</x:v>
      </x:c>
      <x:c r="H213" s="15" t="str">
        <x:v>Closed with explanation</x:v>
      </x:c>
      <x:c r="I213" s="15" t="str">
        <x:v>Web</x:v>
      </x:c>
      <x:c r="J213" s="16" t="d">
        <x:v>2026-09-30T00:00:00.000Z</x:v>
      </x:c>
      <x:c r="K213" s="15" t="str">
        <x:v>Checking account</x:v>
      </x:c>
      <x:c r="L213" s="15" t="str">
        <x:v>Overdrafts and overdraft fees</x:v>
      </x:c>
      <x:c r="M213" s="15" t="str">
        <x:f>_xlfn.XLOOKUP(C213,'Lookups'!$A$7:$A$8,'Lookups'!$B$7:$B$8,"Unmapped",0)</x:f>
        <x:v>Deposit operations</x:v>
      </x:c>
      <x:c r="N213" s="14" t="n">
        <x:f>DATE(YEAR(B213),MONTH(B213),1)</x:f>
        <x:v>46266</x:v>
      </x:c>
    </x:row>
    <x:row r="214" ht="55" customHeight="1">
      <x:c r="A214" s="13" t="str">
        <x:v>28682223</x:v>
      </x:c>
      <x:c r="B214" s="14" t="d">
        <x:v>2026-09-30T00:00:00.000Z</x:v>
      </x:c>
      <x:c r="C214" s="15" t="str">
        <x:v>Credit card</x:v>
      </x:c>
      <x:c r="D214" s="15" t="str">
        <x:v>Problem with a purchase shown on your statement</x:v>
      </x:c>
      <x:c r="E214" s="15" t="str">
        <x:v>Chime Financial Inc</x:v>
      </x:c>
      <x:c r="F214" s="15" t="str">
        <x:v>MN</x:v>
      </x:c>
      <x:c r="G214" s="15" t="str">
        <x:v>Yes</x:v>
      </x:c>
      <x:c r="H214" s="15" t="str">
        <x:v>In progress</x:v>
      </x:c>
      <x:c r="I214" s="15" t="str">
        <x:v>Web</x:v>
      </x:c>
      <x:c r="J214" s="16" t="d">
        <x:v>2026-09-30T00:00:00.000Z</x:v>
      </x:c>
      <x:c r="K214" s="15" t="str">
        <x:v>General-purpose credit card or charge card</x:v>
      </x:c>
      <x:c r="L214" s="15" t="str">
        <x:v>Card was charged for something you did not purchase with the card</x:v>
      </x:c>
      <x:c r="M214" s="15" t="str">
        <x:f>_xlfn.XLOOKUP(C214,'Lookups'!$A$7:$A$8,'Lookups'!$B$7:$B$8,"Unmapped",0)</x:f>
        <x:v>Card operations</x:v>
      </x:c>
      <x:c r="N214" s="14" t="n">
        <x:f>DATE(YEAR(B214),MONTH(B214),1)</x:f>
        <x:v>46266</x:v>
      </x:c>
    </x:row>
    <x:row r="215" ht="55" customHeight="1">
      <x:c r="A215" s="13" t="str">
        <x:v>28682251</x:v>
      </x:c>
      <x:c r="B215" s="14" t="d">
        <x:v>2026-09-30T00:00:00.000Z</x:v>
      </x:c>
      <x:c r="C215" s="15" t="str">
        <x:v>Checking or savings account</x:v>
      </x:c>
      <x:c r="D215" s="15" t="str">
        <x:v>Managing an account</x:v>
      </x:c>
      <x:c r="E215" s="15" t="str">
        <x:v>FIFTH THIRD FINANCIAL CORPORATION</x:v>
      </x:c>
      <x:c r="F215" s="15" t="str">
        <x:v>FL</x:v>
      </x:c>
      <x:c r="G215" s="15" t="str">
        <x:v>Yes</x:v>
      </x:c>
      <x:c r="H215" s="15" t="str">
        <x:v>Closed with explanation</x:v>
      </x:c>
      <x:c r="I215" s="15" t="str">
        <x:v>Web</x:v>
      </x:c>
      <x:c r="J215" s="16" t="d">
        <x:v>2026-09-30T00:00:00.000Z</x:v>
      </x:c>
      <x:c r="K215" s="15" t="str">
        <x:v>Checking account</x:v>
      </x:c>
      <x:c r="L215" s="15" t="str">
        <x:v>Problem making or receiving payments</x:v>
      </x:c>
      <x:c r="M215" s="15" t="str">
        <x:f>_xlfn.XLOOKUP(C215,'Lookups'!$A$7:$A$8,'Lookups'!$B$7:$B$8,"Unmapped",0)</x:f>
        <x:v>Deposit operations</x:v>
      </x:c>
      <x:c r="N215" s="14" t="n">
        <x:f>DATE(YEAR(B215),MONTH(B215),1)</x:f>
        <x:v>46266</x:v>
      </x:c>
    </x:row>
    <x:row r="216" ht="55" customHeight="1">
      <x:c r="A216" s="13" t="str">
        <x:v>28682266</x:v>
      </x:c>
      <x:c r="B216" s="14" t="d">
        <x:v>2026-09-30T00:00:00.000Z</x:v>
      </x:c>
      <x:c r="C216" s="15" t="str">
        <x:v>Credit card</x:v>
      </x:c>
      <x:c r="D216" s="15" t="str">
        <x:v>Problem with a purchase shown on your statement</x:v>
      </x:c>
      <x:c r="E216" s="15" t="str">
        <x:v>CAPITAL ONE FINANCIAL CORPORATION</x:v>
      </x:c>
      <x:c r="F216" s="15" t="str">
        <x:v>WA</x:v>
      </x:c>
      <x:c r="G216" s="15" t="str">
        <x:v>Yes</x:v>
      </x:c>
      <x:c r="H216" s="15" t="str">
        <x:v>Closed with explanation</x:v>
      </x:c>
      <x:c r="I216" s="15" t="str">
        <x:v>Web</x:v>
      </x:c>
      <x:c r="J216" s="16" t="d">
        <x:v>2026-09-30T00:00:00.000Z</x:v>
      </x:c>
      <x:c r="K216" s="15" t="str">
        <x:v>General-purpose credit card or charge card</x:v>
      </x:c>
      <x:c r="L216" s="15" t="str">
        <x:v>Credit card company isn't resolving a dispute about a purchase on your statement</x:v>
      </x:c>
      <x:c r="M216" s="15" t="str">
        <x:f>_xlfn.XLOOKUP(C216,'Lookups'!$A$7:$A$8,'Lookups'!$B$7:$B$8,"Unmapped",0)</x:f>
        <x:v>Card operations</x:v>
      </x:c>
      <x:c r="N216" s="14" t="n">
        <x:f>DATE(YEAR(B216),MONTH(B216),1)</x:f>
        <x:v>46266</x:v>
      </x:c>
    </x:row>
    <x:row r="217" ht="55" customHeight="1">
      <x:c r="A217" s="13" t="str">
        <x:v>28682518</x:v>
      </x:c>
      <x:c r="B217" s="14" t="d">
        <x:v>2026-09-30T00:00:00.000Z</x:v>
      </x:c>
      <x:c r="C217" s="15" t="str">
        <x:v>Credit card</x:v>
      </x:c>
      <x:c r="D217" s="15" t="str">
        <x:v>Closing your account</x:v>
      </x:c>
      <x:c r="E217" s="15" t="str">
        <x:v>Experian Information Solutions Inc.</x:v>
      </x:c>
      <x:c r="F217" s="15" t="str">
        <x:v>PA</x:v>
      </x:c>
      <x:c r="G217" s="15" t="str">
        <x:v>Yes</x:v>
      </x:c>
      <x:c r="H217" s="15" t="str">
        <x:v>In progress</x:v>
      </x:c>
      <x:c r="I217" s="15" t="str">
        <x:v>Web</x:v>
      </x:c>
      <x:c r="J217" s="16" t="d">
        <x:v>2026-09-30T00:00:00.000Z</x:v>
      </x:c>
      <x:c r="K217" s="15" t="str">
        <x:v>General-purpose credit card or charge card</x:v>
      </x:c>
      <x:c r="L217" s="15" t="str">
        <x:v>Company closed your account</x:v>
      </x:c>
      <x:c r="M217" s="15" t="str">
        <x:f>_xlfn.XLOOKUP(C217,'Lookups'!$A$7:$A$8,'Lookups'!$B$7:$B$8,"Unmapped",0)</x:f>
        <x:v>Card operations</x:v>
      </x:c>
      <x:c r="N217" s="14" t="n">
        <x:f>DATE(YEAR(B217),MONTH(B217),1)</x:f>
        <x:v>46266</x:v>
      </x:c>
    </x:row>
    <x:row r="218" ht="55" customHeight="1">
      <x:c r="A218" s="13" t="str">
        <x:v>28682527</x:v>
      </x:c>
      <x:c r="B218" s="14" t="d">
        <x:v>2026-09-30T00:00:00.000Z</x:v>
      </x:c>
      <x:c r="C218" s="15" t="str">
        <x:v>Credit card</x:v>
      </x:c>
      <x:c r="D218" s="15" t="str">
        <x:v>Improper use of your report</x:v>
      </x:c>
      <x:c r="E218" s="15" t="str">
        <x:v>Imprint Payments, Inc.</x:v>
      </x:c>
      <x:c r="F218" s="15" t="str">
        <x:v>NV</x:v>
      </x:c>
      <x:c r="G218" s="15" t="str">
        <x:v>Yes</x:v>
      </x:c>
      <x:c r="H218" s="15" t="str">
        <x:v>In progress</x:v>
      </x:c>
      <x:c r="I218" s="15" t="str">
        <x:v>Phone</x:v>
      </x:c>
      <x:c r="J218" s="16" t="d">
        <x:v>2026-09-30T00:00:00.000Z</x:v>
      </x:c>
      <x:c r="K218" s="15" t="str">
        <x:v>Store credit card</x:v>
      </x:c>
      <x:c r="L218" s="15" t="str">
        <x:v>Credit inquiries on your report that you don't recognize</x:v>
      </x:c>
      <x:c r="M218" s="15" t="str">
        <x:f>_xlfn.XLOOKUP(C218,'Lookups'!$A$7:$A$8,'Lookups'!$B$7:$B$8,"Unmapped",0)</x:f>
        <x:v>Card operations</x:v>
      </x:c>
      <x:c r="N218" s="14" t="n">
        <x:f>DATE(YEAR(B218),MONTH(B218),1)</x:f>
        <x:v>46266</x:v>
      </x:c>
    </x:row>
    <x:row r="219" ht="55" customHeight="1">
      <x:c r="A219" s="13" t="str">
        <x:v>28682530</x:v>
      </x:c>
      <x:c r="B219" s="14" t="d">
        <x:v>2026-09-30T00:00:00.000Z</x:v>
      </x:c>
      <x:c r="C219" s="15" t="str">
        <x:v>Credit card</x:v>
      </x:c>
      <x:c r="D219" s="15" t="str">
        <x:v>Improper use of your report</x:v>
      </x:c>
      <x:c r="E219" s="15" t="str">
        <x:v>TRANSUNION INTERMEDIATE HOLDINGS, INC.</x:v>
      </x:c>
      <x:c r="F219" s="15" t="str">
        <x:v>NV</x:v>
      </x:c>
      <x:c r="G219" s="15" t="str">
        <x:v>Yes</x:v>
      </x:c>
      <x:c r="H219" s="15" t="str">
        <x:v>In progress</x:v>
      </x:c>
      <x:c r="I219" s="15" t="str">
        <x:v>Phone</x:v>
      </x:c>
      <x:c r="J219" s="16" t="d">
        <x:v>2026-09-30T00:00:00.000Z</x:v>
      </x:c>
      <x:c r="K219" s="15" t="str">
        <x:v>Store credit card</x:v>
      </x:c>
      <x:c r="L219" s="15" t="str">
        <x:v>Credit inquiries on your report that you don't recognize</x:v>
      </x:c>
      <x:c r="M219" s="15" t="str">
        <x:f>_xlfn.XLOOKUP(C219,'Lookups'!$A$7:$A$8,'Lookups'!$B$7:$B$8,"Unmapped",0)</x:f>
        <x:v>Card operations</x:v>
      </x:c>
      <x:c r="N219" s="14" t="n">
        <x:f>DATE(YEAR(B219),MONTH(B219),1)</x:f>
        <x:v>46266</x:v>
      </x:c>
    </x:row>
    <x:row r="220" ht="55" customHeight="1">
      <x:c r="A220" s="13" t="str">
        <x:v>28682541</x:v>
      </x:c>
      <x:c r="B220" s="14" t="d">
        <x:v>2026-09-30T00:00:00.000Z</x:v>
      </x:c>
      <x:c r="C220" s="15" t="str">
        <x:v>Credit card</x:v>
      </x:c>
      <x:c r="D220" s="15" t="str">
        <x:v>Problem with a purchase shown on your statement</x:v>
      </x:c>
      <x:c r="E220" s="15" t="str">
        <x:v>BANK OF AMERICA, NATIONAL ASSOCIATION</x:v>
      </x:c>
      <x:c r="F220" s="15" t="str">
        <x:v>CT</x:v>
      </x:c>
      <x:c r="G220" s="15" t="str">
        <x:v>Yes</x:v>
      </x:c>
      <x:c r="H220" s="15" t="str">
        <x:v>In progress</x:v>
      </x:c>
      <x:c r="I220" s="15" t="str">
        <x:v>Web</x:v>
      </x:c>
      <x:c r="J220" s="16" t="d">
        <x:v>2026-09-30T00:00:00.000Z</x:v>
      </x:c>
      <x:c r="K220" s="15" t="str">
        <x:v>General-purpose credit card or charge card</x:v>
      </x:c>
      <x:c r="L220" s="15" t="str">
        <x:v>Credit card company isn't resolving a dispute about a purchase on your statement</x:v>
      </x:c>
      <x:c r="M220" s="15" t="str">
        <x:f>_xlfn.XLOOKUP(C220,'Lookups'!$A$7:$A$8,'Lookups'!$B$7:$B$8,"Unmapped",0)</x:f>
        <x:v>Card operations</x:v>
      </x:c>
      <x:c r="N220" s="14" t="n">
        <x:f>DATE(YEAR(B220),MONTH(B220),1)</x:f>
        <x:v>46266</x:v>
      </x:c>
    </x:row>
    <x:row r="221" ht="55" customHeight="1">
      <x:c r="A221" s="13" t="str">
        <x:v>28682586</x:v>
      </x:c>
      <x:c r="B221" s="14" t="d">
        <x:v>2026-09-30T00:00:00.000Z</x:v>
      </x:c>
      <x:c r="C221" s="15" t="str">
        <x:v>Credit card</x:v>
      </x:c>
      <x:c r="D221" s="15" t="str">
        <x:v>Other features, terms, or problems</x:v>
      </x:c>
      <x:c r="E221" s="15" t="str">
        <x:v>CAPITAL ONE FINANCIAL CORPORATION</x:v>
      </x:c>
      <x:c r="F221" s="15" t="str">
        <x:v>GA</x:v>
      </x:c>
      <x:c r="G221" s="15" t="str">
        <x:v>Yes</x:v>
      </x:c>
      <x:c r="H221" s="15" t="str">
        <x:v>In progress</x:v>
      </x:c>
      <x:c r="I221" s="15" t="str">
        <x:v>Web</x:v>
      </x:c>
      <x:c r="J221" s="16" t="d">
        <x:v>2026-09-30T00:00:00.000Z</x:v>
      </x:c>
      <x:c r="K221" s="15" t="str">
        <x:v>General-purpose credit card or charge card</x:v>
      </x:c>
      <x:c r="L221" s="15" t="str">
        <x:v>Privacy issues</x:v>
      </x:c>
      <x:c r="M221" s="15" t="str">
        <x:f>_xlfn.XLOOKUP(C221,'Lookups'!$A$7:$A$8,'Lookups'!$B$7:$B$8,"Unmapped",0)</x:f>
        <x:v>Card operations</x:v>
      </x:c>
      <x:c r="N221" s="14" t="n">
        <x:f>DATE(YEAR(B221),MONTH(B221),1)</x:f>
        <x:v>46266</x:v>
      </x:c>
    </x:row>
    <x:row r="222" ht="55" customHeight="1">
      <x:c r="A222" s="13" t="str">
        <x:v>28682626</x:v>
      </x:c>
      <x:c r="B222" s="14" t="d">
        <x:v>2026-09-30T00:00:00.000Z</x:v>
      </x:c>
      <x:c r="C222" s="15" t="str">
        <x:v>Credit card</x:v>
      </x:c>
      <x:c r="D222" s="15" t="str">
        <x:v>Other features, terms, or problems</x:v>
      </x:c>
      <x:c r="E222" s="15" t="str">
        <x:v>JPMORGAN CHASE &amp; CO.</x:v>
      </x:c>
      <x:c r="F222" s="15" t="str">
        <x:v>CA</x:v>
      </x:c>
      <x:c r="G222" s="15" t="str">
        <x:v>Yes</x:v>
      </x:c>
      <x:c r="H222" s="15" t="str">
        <x:v>Closed with explanation</x:v>
      </x:c>
      <x:c r="I222" s="15" t="str">
        <x:v>Web</x:v>
      </x:c>
      <x:c r="J222" s="16" t="d">
        <x:v>2026-09-30T00:00:00.000Z</x:v>
      </x:c>
      <x:c r="K222" s="15" t="str">
        <x:v>General-purpose credit card or charge card</x:v>
      </x:c>
      <x:c r="L222" s="15" t="str">
        <x:v>Other problem</x:v>
      </x:c>
      <x:c r="M222" s="15" t="str">
        <x:f>_xlfn.XLOOKUP(C222,'Lookups'!$A$7:$A$8,'Lookups'!$B$7:$B$8,"Unmapped",0)</x:f>
        <x:v>Card operations</x:v>
      </x:c>
      <x:c r="N222" s="14" t="n">
        <x:f>DATE(YEAR(B222),MONTH(B222),1)</x:f>
        <x:v>46266</x:v>
      </x:c>
    </x:row>
    <x:row r="223" ht="55" customHeight="1">
      <x:c r="A223" s="13" t="str">
        <x:v>28682639</x:v>
      </x:c>
      <x:c r="B223" s="14" t="d">
        <x:v>2026-09-30T00:00:00.000Z</x:v>
      </x:c>
      <x:c r="C223" s="15" t="str">
        <x:v>Checking or savings account</x:v>
      </x:c>
      <x:c r="D223" s="15" t="str">
        <x:v>Managing an account</x:v>
      </x:c>
      <x:c r="E223" s="15" t="str">
        <x:v>ALLY FINANCIAL INC.</x:v>
      </x:c>
      <x:c r="F223" s="15" t="str">
        <x:v>NY</x:v>
      </x:c>
      <x:c r="G223" s="15" t="str">
        <x:v>Yes</x:v>
      </x:c>
      <x:c r="H223" s="15" t="str">
        <x:v>In progress</x:v>
      </x:c>
      <x:c r="I223" s="15" t="str">
        <x:v>Web</x:v>
      </x:c>
      <x:c r="J223" s="16" t="d">
        <x:v>2026-09-30T00:00:00.000Z</x:v>
      </x:c>
      <x:c r="K223" s="15" t="str">
        <x:v>Checking account</x:v>
      </x:c>
      <x:c r="L223" s="15" t="str">
        <x:v>Problem making or receiving payments</x:v>
      </x:c>
      <x:c r="M223" s="15" t="str">
        <x:f>_xlfn.XLOOKUP(C223,'Lookups'!$A$7:$A$8,'Lookups'!$B$7:$B$8,"Unmapped",0)</x:f>
        <x:v>Deposit operations</x:v>
      </x:c>
      <x:c r="N223" s="14" t="n">
        <x:f>DATE(YEAR(B223),MONTH(B223),1)</x:f>
        <x:v>46266</x:v>
      </x:c>
    </x:row>
    <x:row r="224" ht="55" customHeight="1">
      <x:c r="A224" s="13" t="str">
        <x:v>28682670</x:v>
      </x:c>
      <x:c r="B224" s="14" t="d">
        <x:v>2026-09-30T00:00:00.000Z</x:v>
      </x:c>
      <x:c r="C224" s="15" t="str">
        <x:v>Credit card</x:v>
      </x:c>
      <x:c r="D224" s="15" t="str">
        <x:v>Problem with a purchase shown on your statement</x:v>
      </x:c>
      <x:c r="E224" s="15" t="str">
        <x:v>U.S. BANCORP</x:v>
      </x:c>
      <x:c r="F224" s="15" t="str">
        <x:v>WI</x:v>
      </x:c>
      <x:c r="G224" s="15" t="str">
        <x:v>Yes</x:v>
      </x:c>
      <x:c r="H224" s="15" t="str">
        <x:v>Closed with explanation</x:v>
      </x:c>
      <x:c r="I224" s="15" t="str">
        <x:v>Web</x:v>
      </x:c>
      <x:c r="J224" s="16" t="d">
        <x:v>2026-09-30T00:00:00.000Z</x:v>
      </x:c>
      <x:c r="K224" s="15" t="str">
        <x:v>General-purpose credit card or charge card</x:v>
      </x:c>
      <x:c r="L224" s="15" t="str">
        <x:v>Credit card company isn't resolving a dispute about a purchase on your statement</x:v>
      </x:c>
      <x:c r="M224" s="15" t="str">
        <x:f>_xlfn.XLOOKUP(C224,'Lookups'!$A$7:$A$8,'Lookups'!$B$7:$B$8,"Unmapped",0)</x:f>
        <x:v>Card operations</x:v>
      </x:c>
      <x:c r="N224" s="14" t="n">
        <x:f>DATE(YEAR(B224),MONTH(B224),1)</x:f>
        <x:v>46266</x:v>
      </x:c>
    </x:row>
    <x:row r="225" ht="55" customHeight="1">
      <x:c r="A225" s="13" t="str">
        <x:v>28682712</x:v>
      </x:c>
      <x:c r="B225" s="14" t="d">
        <x:v>2026-09-30T00:00:00.000Z</x:v>
      </x:c>
      <x:c r="C225" s="15" t="str">
        <x:v>Checking or savings account</x:v>
      </x:c>
      <x:c r="D225" s="15" t="str">
        <x:v>Managing an account</x:v>
      </x:c>
      <x:c r="E225" s="15" t="str">
        <x:v>CAPITAL ONE FINANCIAL CORPORATION</x:v>
      </x:c>
      <x:c r="F225" s="15" t="str">
        <x:v>TX</x:v>
      </x:c>
      <x:c r="G225" s="15" t="str">
        <x:v>Yes</x:v>
      </x:c>
      <x:c r="H225" s="15" t="str">
        <x:v>Closed with explanation</x:v>
      </x:c>
      <x:c r="I225" s="15" t="str">
        <x:v>Web</x:v>
      </x:c>
      <x:c r="J225" s="16" t="d">
        <x:v>2026-09-30T00:00:00.000Z</x:v>
      </x:c>
      <x:c r="K225" s="15" t="str">
        <x:v>Checking account</x:v>
      </x:c>
      <x:c r="L225" s="15" t="str">
        <x:v>Deposits and withdrawals</x:v>
      </x:c>
      <x:c r="M225" s="15" t="str">
        <x:f>_xlfn.XLOOKUP(C225,'Lookups'!$A$7:$A$8,'Lookups'!$B$7:$B$8,"Unmapped",0)</x:f>
        <x:v>Deposit operations</x:v>
      </x:c>
      <x:c r="N225" s="14" t="n">
        <x:f>DATE(YEAR(B225),MONTH(B225),1)</x:f>
        <x:v>46266</x:v>
      </x:c>
    </x:row>
    <x:row r="226" ht="55" customHeight="1">
      <x:c r="A226" s="13" t="str">
        <x:v>28682775</x:v>
      </x:c>
      <x:c r="B226" s="14" t="d">
        <x:v>2026-09-30T00:00:00.000Z</x:v>
      </x:c>
      <x:c r="C226" s="15" t="str">
        <x:v>Checking or savings account</x:v>
      </x:c>
      <x:c r="D226" s="15" t="str">
        <x:v>Managing an account</x:v>
      </x:c>
      <x:c r="E226" s="15" t="str">
        <x:v>CHARLES SCHWAB CORPORATION, THE</x:v>
      </x:c>
      <x:c r="F226" s="15" t="str">
        <x:v>MI</x:v>
      </x:c>
      <x:c r="G226" s="15" t="str">
        <x:v>Yes</x:v>
      </x:c>
      <x:c r="H226" s="15" t="str">
        <x:v>Closed with explanation</x:v>
      </x:c>
      <x:c r="I226" s="15" t="str">
        <x:v>Web</x:v>
      </x:c>
      <x:c r="J226" s="16" t="d">
        <x:v>2026-09-30T00:00:00.000Z</x:v>
      </x:c>
      <x:c r="K226" s="15" t="str">
        <x:v>Checking account</x:v>
      </x:c>
      <x:c r="L226" s="15" t="str">
        <x:v>Funds not handled or disbursed as instructed</x:v>
      </x:c>
      <x:c r="M226" s="15" t="str">
        <x:f>_xlfn.XLOOKUP(C226,'Lookups'!$A$7:$A$8,'Lookups'!$B$7:$B$8,"Unmapped",0)</x:f>
        <x:v>Deposit operations</x:v>
      </x:c>
      <x:c r="N226" s="14" t="n">
        <x:f>DATE(YEAR(B226),MONTH(B226),1)</x:f>
        <x:v>46266</x:v>
      </x:c>
    </x:row>
    <x:row r="227" ht="55" customHeight="1">
      <x:c r="A227" s="13" t="str">
        <x:v>28682827</x:v>
      </x:c>
      <x:c r="B227" s="14" t="d">
        <x:v>2026-09-30T00:00:00.000Z</x:v>
      </x:c>
      <x:c r="C227" s="15" t="str">
        <x:v>Credit card</x:v>
      </x:c>
      <x:c r="D227" s="15" t="str">
        <x:v>Problem with a purchase shown on your statement</x:v>
      </x:c>
      <x:c r="E227" s="15" t="str">
        <x:v>WELLS FARGO &amp; COMPANY</x:v>
      </x:c>
      <x:c r="F227" s="15" t="str">
        <x:v>AL</x:v>
      </x:c>
      <x:c r="G227" s="15" t="str">
        <x:v>Yes</x:v>
      </x:c>
      <x:c r="H227" s="15" t="str">
        <x:v>In progress</x:v>
      </x:c>
      <x:c r="I227" s="15" t="str">
        <x:v>Phone</x:v>
      </x:c>
      <x:c r="J227" s="16" t="d">
        <x:v>2026-09-30T00:00:00.000Z</x:v>
      </x:c>
      <x:c r="K227" s="15" t="str">
        <x:v>General-purpose credit card or charge card</x:v>
      </x:c>
      <x:c r="L227" s="15" t="str">
        <x:v>Credit card company isn't resolving a dispute about a purchase on your statement</x:v>
      </x:c>
      <x:c r="M227" s="15" t="str">
        <x:f>_xlfn.XLOOKUP(C227,'Lookups'!$A$7:$A$8,'Lookups'!$B$7:$B$8,"Unmapped",0)</x:f>
        <x:v>Card operations</x:v>
      </x:c>
      <x:c r="N227" s="14" t="n">
        <x:f>DATE(YEAR(B227),MONTH(B227),1)</x:f>
        <x:v>46266</x:v>
      </x:c>
    </x:row>
    <x:row r="228" ht="55" customHeight="1">
      <x:c r="A228" s="13" t="str">
        <x:v>28682902</x:v>
      </x:c>
      <x:c r="B228" s="14" t="d">
        <x:v>2026-09-30T00:00:00.000Z</x:v>
      </x:c>
      <x:c r="C228" s="15" t="str">
        <x:v>Credit card</x:v>
      </x:c>
      <x:c r="D228" s="15" t="str">
        <x:v>Problem with a purchase shown on your statement</x:v>
      </x:c>
      <x:c r="E228" s="15" t="str">
        <x:v>ROBINHOOD MARKETS INC.</x:v>
      </x:c>
      <x:c r="F228" s="15" t="str">
        <x:v>GA</x:v>
      </x:c>
      <x:c r="G228" s="15" t="str">
        <x:v>Yes</x:v>
      </x:c>
      <x:c r="H228" s="15" t="str">
        <x:v>In progress</x:v>
      </x:c>
      <x:c r="I228" s="15" t="str">
        <x:v>Web</x:v>
      </x:c>
      <x:c r="J228" s="16" t="d">
        <x:v>2026-09-30T00:00:00.000Z</x:v>
      </x:c>
      <x:c r="K228" s="15" t="str">
        <x:v>General-purpose credit card or charge card</x:v>
      </x:c>
      <x:c r="L228" s="15" t="str">
        <x:v>Credit card company isn't resolving a dispute about a purchase on your statement</x:v>
      </x:c>
      <x:c r="M228" s="15" t="str">
        <x:f>_xlfn.XLOOKUP(C228,'Lookups'!$A$7:$A$8,'Lookups'!$B$7:$B$8,"Unmapped",0)</x:f>
        <x:v>Card operations</x:v>
      </x:c>
      <x:c r="N228" s="14" t="n">
        <x:f>DATE(YEAR(B228),MONTH(B228),1)</x:f>
        <x:v>46266</x:v>
      </x:c>
    </x:row>
    <x:row r="229" ht="55" customHeight="1">
      <x:c r="A229" s="13" t="str">
        <x:v>28682994</x:v>
      </x:c>
      <x:c r="B229" s="14" t="d">
        <x:v>2026-09-30T00:00:00.000Z</x:v>
      </x:c>
      <x:c r="C229" s="15" t="str">
        <x:v>Checking or savings account</x:v>
      </x:c>
      <x:c r="D229" s="15" t="str">
        <x:v>Managing an account</x:v>
      </x:c>
      <x:c r="E229" s="15" t="str">
        <x:v>FIFTH THIRD FINANCIAL CORPORATION</x:v>
      </x:c>
      <x:c r="F229" s="15" t="str">
        <x:v>GA</x:v>
      </x:c>
      <x:c r="G229" s="15" t="str">
        <x:v>Yes</x:v>
      </x:c>
      <x:c r="H229" s="15" t="str">
        <x:v>In progress</x:v>
      </x:c>
      <x:c r="I229" s="15" t="str">
        <x:v>Web</x:v>
      </x:c>
      <x:c r="J229" s="16" t="d">
        <x:v>2026-09-30T00:00:00.000Z</x:v>
      </x:c>
      <x:c r="K229" s="15" t="str">
        <x:v>Checking account</x:v>
      </x:c>
      <x:c r="L229" s="15" t="str">
        <x:v>Fee problem</x:v>
      </x:c>
      <x:c r="M229" s="15" t="str">
        <x:f>_xlfn.XLOOKUP(C229,'Lookups'!$A$7:$A$8,'Lookups'!$B$7:$B$8,"Unmapped",0)</x:f>
        <x:v>Deposit operations</x:v>
      </x:c>
      <x:c r="N229" s="14" t="n">
        <x:f>DATE(YEAR(B229),MONTH(B229),1)</x:f>
        <x:v>46266</x:v>
      </x:c>
    </x:row>
    <x:row r="230" ht="55" customHeight="1">
      <x:c r="A230" s="13" t="str">
        <x:v>28683045</x:v>
      </x:c>
      <x:c r="B230" s="14" t="d">
        <x:v>2026-09-30T00:00:00.000Z</x:v>
      </x:c>
      <x:c r="C230" s="15" t="str">
        <x:v>Checking or savings account</x:v>
      </x:c>
      <x:c r="D230" s="15" t="str">
        <x:v>Managing an account</x:v>
      </x:c>
      <x:c r="E230" s="15" t="str">
        <x:v>BANK OF AMERICA, NATIONAL ASSOCIATION</x:v>
      </x:c>
      <x:c r="F230" s="15" t="str">
        <x:v>TX</x:v>
      </x:c>
      <x:c r="G230" s="15" t="str">
        <x:v>Yes</x:v>
      </x:c>
      <x:c r="H230" s="15" t="str">
        <x:v>In progress</x:v>
      </x:c>
      <x:c r="I230" s="15" t="str">
        <x:v>Phone</x:v>
      </x:c>
      <x:c r="J230" s="16" t="d">
        <x:v>2026-09-30T00:00:00.000Z</x:v>
      </x:c>
      <x:c r="K230" s="15" t="str">
        <x:v>Checking account</x:v>
      </x:c>
      <x:c r="L230" s="15" t="str">
        <x:v>Problem making or receiving payments</x:v>
      </x:c>
      <x:c r="M230" s="15" t="str">
        <x:f>_xlfn.XLOOKUP(C230,'Lookups'!$A$7:$A$8,'Lookups'!$B$7:$B$8,"Unmapped",0)</x:f>
        <x:v>Deposit operations</x:v>
      </x:c>
      <x:c r="N230" s="14" t="n">
        <x:f>DATE(YEAR(B230),MONTH(B230),1)</x:f>
        <x:v>46266</x:v>
      </x:c>
    </x:row>
    <x:row r="231" ht="55" customHeight="1">
      <x:c r="A231" s="13" t="str">
        <x:v>28683102</x:v>
      </x:c>
      <x:c r="B231" s="14" t="d">
        <x:v>2026-09-30T00:00:00.000Z</x:v>
      </x:c>
      <x:c r="C231" s="15" t="str">
        <x:v>Checking or savings account</x:v>
      </x:c>
      <x:c r="D231" s="15" t="str">
        <x:v>Closing an account</x:v>
      </x:c>
      <x:c r="E231" s="15" t="str">
        <x:v>WELLS FARGO &amp; COMPANY</x:v>
      </x:c>
      <x:c r="F231" s="15" t="str">
        <x:v>TX</x:v>
      </x:c>
      <x:c r="G231" s="15" t="str">
        <x:v>Yes</x:v>
      </x:c>
      <x:c r="H231" s="15" t="str">
        <x:v>Closed with explanation</x:v>
      </x:c>
      <x:c r="I231" s="15" t="str">
        <x:v>Web</x:v>
      </x:c>
      <x:c r="J231" s="16" t="d">
        <x:v>2026-09-30T00:00:00.000Z</x:v>
      </x:c>
      <x:c r="K231" s="15" t="str">
        <x:v>Checking account</x:v>
      </x:c>
      <x:c r="L231" s="15" t="str">
        <x:v>Can't close your account</x:v>
      </x:c>
      <x:c r="M231" s="15" t="str">
        <x:f>_xlfn.XLOOKUP(C231,'Lookups'!$A$7:$A$8,'Lookups'!$B$7:$B$8,"Unmapped",0)</x:f>
        <x:v>Deposit operations</x:v>
      </x:c>
      <x:c r="N231" s="14" t="n">
        <x:f>DATE(YEAR(B231),MONTH(B231),1)</x:f>
        <x:v>46266</x:v>
      </x:c>
    </x:row>
    <x:row r="232" ht="55" customHeight="1">
      <x:c r="A232" s="13" t="str">
        <x:v>28683449</x:v>
      </x:c>
      <x:c r="B232" s="14" t="d">
        <x:v>2026-09-30T00:00:00.000Z</x:v>
      </x:c>
      <x:c r="C232" s="15" t="str">
        <x:v>Checking or savings account</x:v>
      </x:c>
      <x:c r="D232" s="15" t="str">
        <x:v>Managing an account</x:v>
      </x:c>
      <x:c r="E232" s="15" t="str">
        <x:v>Chime Financial Inc</x:v>
      </x:c>
      <x:c r="F232" s="15" t="str">
        <x:v>NE</x:v>
      </x:c>
      <x:c r="G232" s="15" t="str">
        <x:v>Yes</x:v>
      </x:c>
      <x:c r="H232" s="15" t="str">
        <x:v>In progress</x:v>
      </x:c>
      <x:c r="I232" s="15" t="str">
        <x:v>Web</x:v>
      </x:c>
      <x:c r="J232" s="16" t="d">
        <x:v>2026-09-30T00:00:00.000Z</x:v>
      </x:c>
      <x:c r="K232" s="15" t="str">
        <x:v>Checking account</x:v>
      </x:c>
      <x:c r="L232" s="15" t="str">
        <x:v>Funds not handled or disbursed as instructed</x:v>
      </x:c>
      <x:c r="M232" s="15" t="str">
        <x:f>_xlfn.XLOOKUP(C232,'Lookups'!$A$7:$A$8,'Lookups'!$B$7:$B$8,"Unmapped",0)</x:f>
        <x:v>Deposit operations</x:v>
      </x:c>
      <x:c r="N232" s="14" t="n">
        <x:f>DATE(YEAR(B232),MONTH(B232),1)</x:f>
        <x:v>46266</x:v>
      </x:c>
    </x:row>
    <x:row r="233" ht="55" customHeight="1">
      <x:c r="A233" s="13" t="str">
        <x:v>28683466</x:v>
      </x:c>
      <x:c r="B233" s="14" t="d">
        <x:v>2026-09-30T00:00:00.000Z</x:v>
      </x:c>
      <x:c r="C233" s="15" t="str">
        <x:v>Credit card</x:v>
      </x:c>
      <x:c r="D233" s="15" t="str">
        <x:v>Getting a credit card</x:v>
      </x:c>
      <x:c r="E233" s="15" t="str">
        <x:v>CITIBANK, N.A.</x:v>
      </x:c>
      <x:c r="F233" s="15" t="str">
        <x:v>MA</x:v>
      </x:c>
      <x:c r="G233" s="15" t="str">
        <x:v>Yes</x:v>
      </x:c>
      <x:c r="H233" s="15" t="str">
        <x:v>Closed with non-monetary relief</x:v>
      </x:c>
      <x:c r="I233" s="15" t="str">
        <x:v>Phone</x:v>
      </x:c>
      <x:c r="J233" s="16" t="d">
        <x:v>2026-09-30T00:00:00.000Z</x:v>
      </x:c>
      <x:c r="K233" s="15" t="str">
        <x:v>General-purpose credit card or charge card</x:v>
      </x:c>
      <x:c r="L233" s="15" t="str">
        <x:v>Card opened without my consent or knowledge</x:v>
      </x:c>
      <x:c r="M233" s="15" t="str">
        <x:f>_xlfn.XLOOKUP(C233,'Lookups'!$A$7:$A$8,'Lookups'!$B$7:$B$8,"Unmapped",0)</x:f>
        <x:v>Card operations</x:v>
      </x:c>
      <x:c r="N233" s="14" t="n">
        <x:f>DATE(YEAR(B233),MONTH(B233),1)</x:f>
        <x:v>46266</x:v>
      </x:c>
    </x:row>
    <x:row r="234" ht="55" customHeight="1">
      <x:c r="A234" s="13" t="str">
        <x:v>28683469</x:v>
      </x:c>
      <x:c r="B234" s="14" t="d">
        <x:v>2026-09-30T00:00:00.000Z</x:v>
      </x:c>
      <x:c r="C234" s="15" t="str">
        <x:v>Checking or savings account</x:v>
      </x:c>
      <x:c r="D234" s="15" t="str">
        <x:v>Managing an account</x:v>
      </x:c>
      <x:c r="E234" s="15" t="str">
        <x:v>BANK OF AMERICA, NATIONAL ASSOCIATION</x:v>
      </x:c>
      <x:c r="F234" s="15" t="str">
        <x:v>OK</x:v>
      </x:c>
      <x:c r="G234" s="15" t="str">
        <x:v>Yes</x:v>
      </x:c>
      <x:c r="H234" s="15" t="str">
        <x:v>In progress</x:v>
      </x:c>
      <x:c r="I234" s="15" t="str">
        <x:v>Web</x:v>
      </x:c>
      <x:c r="J234" s="16" t="d">
        <x:v>2026-09-30T00:00:00.000Z</x:v>
      </x:c>
      <x:c r="K234" s="15" t="str">
        <x:v>Checking account</x:v>
      </x:c>
      <x:c r="L234" s="15" t="str">
        <x:v>Problem using a debit or ATM card</x:v>
      </x:c>
      <x:c r="M234" s="15" t="str">
        <x:f>_xlfn.XLOOKUP(C234,'Lookups'!$A$7:$A$8,'Lookups'!$B$7:$B$8,"Unmapped",0)</x:f>
        <x:v>Deposit operations</x:v>
      </x:c>
      <x:c r="N234" s="14" t="n">
        <x:f>DATE(YEAR(B234),MONTH(B234),1)</x:f>
        <x:v>46266</x:v>
      </x:c>
    </x:row>
    <x:row r="235" ht="55" customHeight="1">
      <x:c r="A235" s="13" t="str">
        <x:v>28683516</x:v>
      </x:c>
      <x:c r="B235" s="14" t="d">
        <x:v>2026-09-30T00:00:00.000Z</x:v>
      </x:c>
      <x:c r="C235" s="15" t="str">
        <x:v>Credit card</x:v>
      </x:c>
      <x:c r="D235" s="15" t="str">
        <x:v>Trouble using your card</x:v>
      </x:c>
      <x:c r="E235" s="15" t="str">
        <x:v>CAPITAL ONE FINANCIAL CORPORATION</x:v>
      </x:c>
      <x:c r="F235" s="15" t="str">
        <x:v>MA</x:v>
      </x:c>
      <x:c r="G235" s="15" t="str">
        <x:v>Yes</x:v>
      </x:c>
      <x:c r="H235" s="15" t="str">
        <x:v>Closed with explanation</x:v>
      </x:c>
      <x:c r="I235" s="15" t="str">
        <x:v>Web</x:v>
      </x:c>
      <x:c r="J235" s="16" t="d">
        <x:v>2026-09-30T00:00:00.000Z</x:v>
      </x:c>
      <x:c r="K235" s="15" t="str">
        <x:v>General-purpose credit card or charge card</x:v>
      </x:c>
      <x:c r="L235" s="15" t="str">
        <x:v>Can't use card to make purchases</x:v>
      </x:c>
      <x:c r="M235" s="15" t="str">
        <x:f>_xlfn.XLOOKUP(C235,'Lookups'!$A$7:$A$8,'Lookups'!$B$7:$B$8,"Unmapped",0)</x:f>
        <x:v>Card operations</x:v>
      </x:c>
      <x:c r="N235" s="14" t="n">
        <x:f>DATE(YEAR(B235),MONTH(B235),1)</x:f>
        <x:v>46266</x:v>
      </x:c>
    </x:row>
    <x:row r="236" ht="55" customHeight="1">
      <x:c r="A236" s="13" t="str">
        <x:v>28683553</x:v>
      </x:c>
      <x:c r="B236" s="14" t="d">
        <x:v>2026-09-30T00:00:00.000Z</x:v>
      </x:c>
      <x:c r="C236" s="15" t="str">
        <x:v>Checking or savings account</x:v>
      </x:c>
      <x:c r="D236" s="15" t="str">
        <x:v>Managing an account</x:v>
      </x:c>
      <x:c r="E236" s="15" t="str">
        <x:v>TD BANK US HOLDING COMPANY</x:v>
      </x:c>
      <x:c r="F236" s="15" t="str">
        <x:v>VA</x:v>
      </x:c>
      <x:c r="G236" s="15" t="str">
        <x:v>Yes</x:v>
      </x:c>
      <x:c r="H236" s="15" t="str">
        <x:v>Closed with explanation</x:v>
      </x:c>
      <x:c r="I236" s="15" t="str">
        <x:v>Phone</x:v>
      </x:c>
      <x:c r="J236" s="16" t="d">
        <x:v>2026-09-30T00:00:00.000Z</x:v>
      </x:c>
      <x:c r="K236" s="15" t="str">
        <x:v>Checking account</x:v>
      </x:c>
      <x:c r="L236" s="15" t="str">
        <x:v>Fee problem</x:v>
      </x:c>
      <x:c r="M236" s="15" t="str">
        <x:f>_xlfn.XLOOKUP(C236,'Lookups'!$A$7:$A$8,'Lookups'!$B$7:$B$8,"Unmapped",0)</x:f>
        <x:v>Deposit operations</x:v>
      </x:c>
      <x:c r="N236" s="14" t="n">
        <x:f>DATE(YEAR(B236),MONTH(B236),1)</x:f>
        <x:v>46266</x:v>
      </x:c>
    </x:row>
    <x:row r="237" ht="55" customHeight="1">
      <x:c r="A237" s="13" t="str">
        <x:v>28683807</x:v>
      </x:c>
      <x:c r="B237" s="14" t="d">
        <x:v>2026-09-30T00:00:00.000Z</x:v>
      </x:c>
      <x:c r="C237" s="15" t="str">
        <x:v>Checking or savings account</x:v>
      </x:c>
      <x:c r="D237" s="15" t="str">
        <x:v>Problem with a lender or other company charging your account</x:v>
      </x:c>
      <x:c r="E237" s="15" t="str">
        <x:v>HUNTINGTON NATIONAL BANK, THE</x:v>
      </x:c>
      <x:c r="F237" s="15" t="str">
        <x:v>PA</x:v>
      </x:c>
      <x:c r="G237" s="15" t="str">
        <x:v>Yes</x:v>
      </x:c>
      <x:c r="H237" s="15" t="str">
        <x:v>Closed with monetary relief</x:v>
      </x:c>
      <x:c r="I237" s="15" t="str">
        <x:v>Web</x:v>
      </x:c>
      <x:c r="J237" s="16" t="d">
        <x:v>2026-09-30T00:00:00.000Z</x:v>
      </x:c>
      <x:c r="K237" s="15" t="str">
        <x:v>Checking account</x:v>
      </x:c>
      <x:c r="L237" s="15" t="str">
        <x:v>Transaction was not authorized</x:v>
      </x:c>
      <x:c r="M237" s="15" t="str">
        <x:f>_xlfn.XLOOKUP(C237,'Lookups'!$A$7:$A$8,'Lookups'!$B$7:$B$8,"Unmapped",0)</x:f>
        <x:v>Deposit operations</x:v>
      </x:c>
      <x:c r="N237" s="14" t="n">
        <x:f>DATE(YEAR(B237),MONTH(B237),1)</x:f>
        <x:v>46266</x:v>
      </x:c>
    </x:row>
    <x:row r="238" ht="55" customHeight="1">
      <x:c r="A238" s="13" t="str">
        <x:v>28683999</x:v>
      </x:c>
      <x:c r="B238" s="14" t="d">
        <x:v>2026-09-30T00:00:00.000Z</x:v>
      </x:c>
      <x:c r="C238" s="15" t="str">
        <x:v>Checking or savings account</x:v>
      </x:c>
      <x:c r="D238" s="15" t="str">
        <x:v>Problem with a lender or other company charging your account</x:v>
      </x:c>
      <x:c r="E238" s="15" t="str">
        <x:v>CAPITAL ONE FINANCIAL CORPORATION</x:v>
      </x:c>
      <x:c r="F238" s="15" t="str">
        <x:v>GA</x:v>
      </x:c>
      <x:c r="G238" s="15" t="str">
        <x:v>Yes</x:v>
      </x:c>
      <x:c r="H238" s="15" t="str">
        <x:v>In progress</x:v>
      </x:c>
      <x:c r="I238" s="15" t="str">
        <x:v>Web</x:v>
      </x:c>
      <x:c r="J238" s="16" t="d">
        <x:v>2026-09-30T00:00:00.000Z</x:v>
      </x:c>
      <x:c r="K238" s="15" t="str">
        <x:v>Checking account</x:v>
      </x:c>
      <x:c r="L238" s="15" t="str">
        <x:v>Can't stop withdrawals from your account</x:v>
      </x:c>
      <x:c r="M238" s="15" t="str">
        <x:f>_xlfn.XLOOKUP(C238,'Lookups'!$A$7:$A$8,'Lookups'!$B$7:$B$8,"Unmapped",0)</x:f>
        <x:v>Deposit operations</x:v>
      </x:c>
      <x:c r="N238" s="14" t="n">
        <x:f>DATE(YEAR(B238),MONTH(B238),1)</x:f>
        <x:v>46266</x:v>
      </x:c>
    </x:row>
    <x:row r="239" ht="55" customHeight="1">
      <x:c r="A239" s="13" t="str">
        <x:v>28684742</x:v>
      </x:c>
      <x:c r="B239" s="14" t="d">
        <x:v>2026-09-30T00:00:00.000Z</x:v>
      </x:c>
      <x:c r="C239" s="15" t="str">
        <x:v>Credit card</x:v>
      </x:c>
      <x:c r="D239" s="15" t="str">
        <x:v>Problem with a purchase shown on your statement</x:v>
      </x:c>
      <x:c r="E239" s="15" t="str">
        <x:v>CITIBANK, N.A.</x:v>
      </x:c>
      <x:c r="F239" s="15" t="str">
        <x:v>PA</x:v>
      </x:c>
      <x:c r="G239" s="15" t="str">
        <x:v>Yes</x:v>
      </x:c>
      <x:c r="H239" s="15" t="str">
        <x:v>Closed with monetary relief</x:v>
      </x:c>
      <x:c r="I239" s="15" t="str">
        <x:v>Web</x:v>
      </x:c>
      <x:c r="J239" s="16" t="d">
        <x:v>2026-09-30T00:00:00.000Z</x:v>
      </x:c>
      <x:c r="K239" s="15" t="str">
        <x:v>General-purpose credit card or charge card</x:v>
      </x:c>
      <x:c r="L239" s="15" t="str">
        <x:v>Credit card company isn't resolving a dispute about a purchase on your statement</x:v>
      </x:c>
      <x:c r="M239" s="15" t="str">
        <x:f>_xlfn.XLOOKUP(C239,'Lookups'!$A$7:$A$8,'Lookups'!$B$7:$B$8,"Unmapped",0)</x:f>
        <x:v>Card operations</x:v>
      </x:c>
      <x:c r="N239" s="14" t="n">
        <x:f>DATE(YEAR(B239),MONTH(B239),1)</x:f>
        <x:v>46266</x:v>
      </x:c>
    </x:row>
    <x:row r="240" ht="55" customHeight="1">
      <x:c r="A240" s="13" t="str">
        <x:v>28684841</x:v>
      </x:c>
      <x:c r="B240" s="14" t="d">
        <x:v>2026-09-30T00:00:00.000Z</x:v>
      </x:c>
      <x:c r="C240" s="15" t="str">
        <x:v>Checking or savings account</x:v>
      </x:c>
      <x:c r="D240" s="15" t="str">
        <x:v>Managing an account</x:v>
      </x:c>
      <x:c r="E240" s="15" t="str">
        <x:v>Chime Financial Inc</x:v>
      </x:c>
      <x:c r="F240" s="15" t="str">
        <x:v>CA</x:v>
      </x:c>
      <x:c r="G240" s="15" t="str">
        <x:v>Yes</x:v>
      </x:c>
      <x:c r="H240" s="15" t="str">
        <x:v>Closed with explanation</x:v>
      </x:c>
      <x:c r="I240" s="15" t="str">
        <x:v>Web</x:v>
      </x:c>
      <x:c r="J240" s="16" t="d">
        <x:v>2026-09-30T00:00:00.000Z</x:v>
      </x:c>
      <x:c r="K240" s="15" t="str">
        <x:v>Checking account</x:v>
      </x:c>
      <x:c r="L240" s="15" t="str">
        <x:v>Problem using a debit or ATM card</x:v>
      </x:c>
      <x:c r="M240" s="15" t="str">
        <x:f>_xlfn.XLOOKUP(C240,'Lookups'!$A$7:$A$8,'Lookups'!$B$7:$B$8,"Unmapped",0)</x:f>
        <x:v>Deposit operations</x:v>
      </x:c>
      <x:c r="N240" s="14" t="n">
        <x:f>DATE(YEAR(B240),MONTH(B240),1)</x:f>
        <x:v>46266</x:v>
      </x:c>
    </x:row>
    <x:row r="241" ht="55" customHeight="1">
      <x:c r="A241" s="13" t="str">
        <x:v>28684858</x:v>
      </x:c>
      <x:c r="B241" s="14" t="d">
        <x:v>2026-09-30T00:00:00.000Z</x:v>
      </x:c>
      <x:c r="C241" s="15" t="str">
        <x:v>Credit card</x:v>
      </x:c>
      <x:c r="D241" s="15" t="str">
        <x:v>Problem when making payments</x:v>
      </x:c>
      <x:c r="E241" s="15" t="str">
        <x:v>CAPITAL ONE FINANCIAL CORPORATION</x:v>
      </x:c>
      <x:c r="F241" s="15" t="str">
        <x:v>MN</x:v>
      </x:c>
      <x:c r="G241" s="15" t="str">
        <x:v>Yes</x:v>
      </x:c>
      <x:c r="H241" s="15" t="str">
        <x:v>Closed with explanation</x:v>
      </x:c>
      <x:c r="I241" s="15" t="str">
        <x:v>Phone</x:v>
      </x:c>
      <x:c r="J241" s="16" t="d">
        <x:v>2026-09-30T00:00:00.000Z</x:v>
      </x:c>
      <x:c r="K241" s="15" t="str">
        <x:v>General-purpose credit card or charge card</x:v>
      </x:c>
      <x:c r="L241" s="15" t="str">
        <x:v>Problem during payment process</x:v>
      </x:c>
      <x:c r="M241" s="15" t="str">
        <x:f>_xlfn.XLOOKUP(C241,'Lookups'!$A$7:$A$8,'Lookups'!$B$7:$B$8,"Unmapped",0)</x:f>
        <x:v>Card operations</x:v>
      </x:c>
      <x:c r="N241" s="14" t="n">
        <x:f>DATE(YEAR(B241),MONTH(B241),1)</x:f>
        <x:v>46266</x:v>
      </x:c>
    </x:row>
    <x:row r="242" ht="55" customHeight="1">
      <x:c r="A242" s="13" t="str">
        <x:v>28684945</x:v>
      </x:c>
      <x:c r="B242" s="14" t="d">
        <x:v>2026-09-30T00:00:00.000Z</x:v>
      </x:c>
      <x:c r="C242" s="15" t="str">
        <x:v>Checking or savings account</x:v>
      </x:c>
      <x:c r="D242" s="15" t="str">
        <x:v>Managing an account</x:v>
      </x:c>
      <x:c r="E242" s="15" t="str">
        <x:v>JPMORGAN CHASE &amp; CO.</x:v>
      </x:c>
      <x:c r="F242" s="15" t="str">
        <x:v>FL</x:v>
      </x:c>
      <x:c r="G242" s="15" t="str">
        <x:v>Yes</x:v>
      </x:c>
      <x:c r="H242" s="15" t="str">
        <x:v>Closed with non-monetary relief</x:v>
      </x:c>
      <x:c r="I242" s="15" t="str">
        <x:v>Web</x:v>
      </x:c>
      <x:c r="J242" s="16" t="d">
        <x:v>2026-09-30T00:00:00.000Z</x:v>
      </x:c>
      <x:c r="K242" s="15" t="str">
        <x:v>Checking account</x:v>
      </x:c>
      <x:c r="L242" s="15" t="str">
        <x:v>Deposits and withdrawals</x:v>
      </x:c>
      <x:c r="M242" s="15" t="str">
        <x:f>_xlfn.XLOOKUP(C242,'Lookups'!$A$7:$A$8,'Lookups'!$B$7:$B$8,"Unmapped",0)</x:f>
        <x:v>Deposit operations</x:v>
      </x:c>
      <x:c r="N242" s="14" t="n">
        <x:f>DATE(YEAR(B242),MONTH(B242),1)</x:f>
        <x:v>46266</x:v>
      </x:c>
    </x:row>
    <x:row r="243" ht="55" customHeight="1">
      <x:c r="A243" s="13" t="str">
        <x:v>28685042</x:v>
      </x:c>
      <x:c r="B243" s="14" t="d">
        <x:v>2026-09-30T00:00:00.000Z</x:v>
      </x:c>
      <x:c r="C243" s="15" t="str">
        <x:v>Checking or savings account</x:v>
      </x:c>
      <x:c r="D243" s="15" t="str">
        <x:v>Managing an account</x:v>
      </x:c>
      <x:c r="E243" s="15" t="str">
        <x:v>JPMORGAN CHASE &amp; CO.</x:v>
      </x:c>
      <x:c r="F243" s="15" t="str">
        <x:v>VA</x:v>
      </x:c>
      <x:c r="G243" s="15" t="str">
        <x:v>Yes</x:v>
      </x:c>
      <x:c r="H243" s="15" t="str">
        <x:v>Closed with explanation</x:v>
      </x:c>
      <x:c r="I243" s="15" t="str">
        <x:v>Web</x:v>
      </x:c>
      <x:c r="J243" s="16" t="d">
        <x:v>2026-09-30T00:00:00.000Z</x:v>
      </x:c>
      <x:c r="K243" s="15" t="str">
        <x:v>Checking account</x:v>
      </x:c>
      <x:c r="L243" s="15" t="str">
        <x:v>Problem using a debit or ATM card</x:v>
      </x:c>
      <x:c r="M243" s="15" t="str">
        <x:f>_xlfn.XLOOKUP(C243,'Lookups'!$A$7:$A$8,'Lookups'!$B$7:$B$8,"Unmapped",0)</x:f>
        <x:v>Deposit operations</x:v>
      </x:c>
      <x:c r="N243" s="14" t="n">
        <x:f>DATE(YEAR(B243),MONTH(B243),1)</x:f>
        <x:v>46266</x:v>
      </x:c>
    </x:row>
    <x:row r="244" ht="55" customHeight="1">
      <x:c r="A244" s="13" t="str">
        <x:v>28685145</x:v>
      </x:c>
      <x:c r="B244" s="14" t="d">
        <x:v>2026-09-30T00:00:00.000Z</x:v>
      </x:c>
      <x:c r="C244" s="15" t="str">
        <x:v>Checking or savings account</x:v>
      </x:c>
      <x:c r="D244" s="15" t="str">
        <x:v>Managing an account</x:v>
      </x:c>
      <x:c r="E244" s="15" t="str">
        <x:v>GOLDMAN SACHS BANK USA</x:v>
      </x:c>
      <x:c r="F244" s="15" t="str">
        <x:v>PA</x:v>
      </x:c>
      <x:c r="G244" s="15" t="str">
        <x:v>Yes</x:v>
      </x:c>
      <x:c r="H244" s="15" t="str">
        <x:v>Closed with explanation</x:v>
      </x:c>
      <x:c r="I244" s="15" t="str">
        <x:v>Web</x:v>
      </x:c>
      <x:c r="J244" s="16" t="d">
        <x:v>2026-09-30T00:00:00.000Z</x:v>
      </x:c>
      <x:c r="K244" s="15" t="str">
        <x:v>CD (Certificate of Deposit)</x:v>
      </x:c>
      <x:c r="L244" s="15" t="str">
        <x:v>Deposits or withdrawals</x:v>
      </x:c>
      <x:c r="M244" s="15" t="str">
        <x:f>_xlfn.XLOOKUP(C244,'Lookups'!$A$7:$A$8,'Lookups'!$B$7:$B$8,"Unmapped",0)</x:f>
        <x:v>Deposit operations</x:v>
      </x:c>
      <x:c r="N244" s="14" t="n">
        <x:f>DATE(YEAR(B244),MONTH(B244),1)</x:f>
        <x:v>46266</x:v>
      </x:c>
    </x:row>
    <x:row r="245" ht="55" customHeight="1">
      <x:c r="A245" s="13" t="str">
        <x:v>28685251</x:v>
      </x:c>
      <x:c r="B245" s="14" t="d">
        <x:v>2026-09-30T00:00:00.000Z</x:v>
      </x:c>
      <x:c r="C245" s="15" t="str">
        <x:v>Checking or savings account</x:v>
      </x:c>
      <x:c r="D245" s="15" t="str">
        <x:v>Managing an account</x:v>
      </x:c>
      <x:c r="E245" s="15" t="str">
        <x:v>JPMORGAN CHASE &amp; CO.</x:v>
      </x:c>
      <x:c r="F245" s="15" t="str">
        <x:v>IL</x:v>
      </x:c>
      <x:c r="G245" s="15" t="str">
        <x:v>Yes</x:v>
      </x:c>
      <x:c r="H245" s="15" t="str">
        <x:v>Closed with explanation</x:v>
      </x:c>
      <x:c r="I245" s="15" t="str">
        <x:v>Web</x:v>
      </x:c>
      <x:c r="J245" s="16" t="d">
        <x:v>2026-09-30T00:00:00.000Z</x:v>
      </x:c>
      <x:c r="K245" s="15" t="str">
        <x:v>Checking account</x:v>
      </x:c>
      <x:c r="L245" s="15" t="str">
        <x:v>Deposits and withdrawals</x:v>
      </x:c>
      <x:c r="M245" s="15" t="str">
        <x:f>_xlfn.XLOOKUP(C245,'Lookups'!$A$7:$A$8,'Lookups'!$B$7:$B$8,"Unmapped",0)</x:f>
        <x:v>Deposit operations</x:v>
      </x:c>
      <x:c r="N245" s="14" t="n">
        <x:f>DATE(YEAR(B245),MONTH(B245),1)</x:f>
        <x:v>46266</x:v>
      </x:c>
    </x:row>
    <x:row r="246" ht="55" customHeight="1">
      <x:c r="A246" s="13" t="str">
        <x:v>28685320</x:v>
      </x:c>
      <x:c r="B246" s="14" t="d">
        <x:v>2026-09-30T00:00:00.000Z</x:v>
      </x:c>
      <x:c r="C246" s="15" t="str">
        <x:v>Checking or savings account</x:v>
      </x:c>
      <x:c r="D246" s="15" t="str">
        <x:v>Problem caused by your funds being low</x:v>
      </x:c>
      <x:c r="E246" s="15" t="str">
        <x:v>Block, Inc.</x:v>
      </x:c>
      <x:c r="F246" s="15" t="str">
        <x:v>PA</x:v>
      </x:c>
      <x:c r="G246" s="15" t="str">
        <x:v>Yes</x:v>
      </x:c>
      <x:c r="H246" s="15" t="str">
        <x:v>Closed with explanation</x:v>
      </x:c>
      <x:c r="I246" s="15" t="str">
        <x:v>Web</x:v>
      </x:c>
      <x:c r="J246" s="16" t="d">
        <x:v>2026-09-30T00:00:00.000Z</x:v>
      </x:c>
      <x:c r="K246" s="15" t="str">
        <x:v>Other banking product or service</x:v>
      </x:c>
      <x:c r="L246" s="15" t="str">
        <x:v>Bounced checks or returned payments</x:v>
      </x:c>
      <x:c r="M246" s="15" t="str">
        <x:f>_xlfn.XLOOKUP(C246,'Lookups'!$A$7:$A$8,'Lookups'!$B$7:$B$8,"Unmapped",0)</x:f>
        <x:v>Deposit operations</x:v>
      </x:c>
      <x:c r="N246" s="14" t="n">
        <x:f>DATE(YEAR(B246),MONTH(B246),1)</x:f>
        <x:v>46266</x:v>
      </x:c>
    </x:row>
    <x:row r="247" ht="55" customHeight="1">
      <x:c r="A247" s="13" t="str">
        <x:v>28685687</x:v>
      </x:c>
      <x:c r="B247" s="14" t="d">
        <x:v>2026-09-30T00:00:00.000Z</x:v>
      </x:c>
      <x:c r="C247" s="15" t="str">
        <x:v>Credit card</x:v>
      </x:c>
      <x:c r="D247" s="15" t="str">
        <x:v>Problem with a purchase shown on your statement</x:v>
      </x:c>
      <x:c r="E247" s="15" t="str">
        <x:v>SYNCHRONY FINANCIAL</x:v>
      </x:c>
      <x:c r="F247" s="15" t="str">
        <x:v>CT</x:v>
      </x:c>
      <x:c r="G247" s="15" t="str">
        <x:v>Yes</x:v>
      </x:c>
      <x:c r="H247" s="15" t="str">
        <x:v>In progress</x:v>
      </x:c>
      <x:c r="I247" s="15" t="str">
        <x:v>Web</x:v>
      </x:c>
      <x:c r="J247" s="16" t="d">
        <x:v>2026-09-30T00:00:00.000Z</x:v>
      </x:c>
      <x:c r="K247" s="15" t="str">
        <x:v>Store credit card</x:v>
      </x:c>
      <x:c r="L247" s="15" t="str">
        <x:v>Credit card company isn't resolving a dispute about a purchase on your statement</x:v>
      </x:c>
      <x:c r="M247" s="15" t="str">
        <x:f>_xlfn.XLOOKUP(C247,'Lookups'!$A$7:$A$8,'Lookups'!$B$7:$B$8,"Unmapped",0)</x:f>
        <x:v>Card operations</x:v>
      </x:c>
      <x:c r="N247" s="14" t="n">
        <x:f>DATE(YEAR(B247),MONTH(B247),1)</x:f>
        <x:v>46266</x:v>
      </x:c>
    </x:row>
    <x:row r="248" ht="55" customHeight="1">
      <x:c r="A248" s="13" t="str">
        <x:v>28685863</x:v>
      </x:c>
      <x:c r="B248" s="14" t="d">
        <x:v>2026-09-30T00:00:00.000Z</x:v>
      </x:c>
      <x:c r="C248" s="15" t="str">
        <x:v>Checking or savings account</x:v>
      </x:c>
      <x:c r="D248" s="15" t="str">
        <x:v>Closing an account</x:v>
      </x:c>
      <x:c r="E248" s="15" t="str">
        <x:v>HUNTINGTON NATIONAL BANK, THE</x:v>
      </x:c>
      <x:c r="F248" s="15" t="str">
        <x:v>WA</x:v>
      </x:c>
      <x:c r="G248" s="15" t="str">
        <x:v>Yes</x:v>
      </x:c>
      <x:c r="H248" s="15" t="str">
        <x:v>Closed with non-monetary relief</x:v>
      </x:c>
      <x:c r="I248" s="15" t="str">
        <x:v>Web</x:v>
      </x:c>
      <x:c r="J248" s="16" t="d">
        <x:v>2026-09-30T00:00:00.000Z</x:v>
      </x:c>
      <x:c r="K248" s="15" t="str">
        <x:v>Checking account</x:v>
      </x:c>
      <x:c r="L248" s="15" t="str">
        <x:v>Can't close your account</x:v>
      </x:c>
      <x:c r="M248" s="15" t="str">
        <x:f>_xlfn.XLOOKUP(C248,'Lookups'!$A$7:$A$8,'Lookups'!$B$7:$B$8,"Unmapped",0)</x:f>
        <x:v>Deposit operations</x:v>
      </x:c>
      <x:c r="N248" s="14" t="n">
        <x:f>DATE(YEAR(B248),MONTH(B248),1)</x:f>
        <x:v>46266</x:v>
      </x:c>
    </x:row>
    <x:row r="249" ht="55" customHeight="1">
      <x:c r="A249" s="13" t="str">
        <x:v>28685937</x:v>
      </x:c>
      <x:c r="B249" s="14" t="d">
        <x:v>2026-09-30T00:00:00.000Z</x:v>
      </x:c>
      <x:c r="C249" s="15" t="str">
        <x:v>Checking or savings account</x:v>
      </x:c>
      <x:c r="D249" s="15" t="str">
        <x:v>Problem with a lender or other company charging your account</x:v>
      </x:c>
      <x:c r="E249" s="15" t="str">
        <x:v>JPMORGAN CHASE &amp; CO.</x:v>
      </x:c>
      <x:c r="F249" s="15" t="str">
        <x:v>WI</x:v>
      </x:c>
      <x:c r="G249" s="15" t="str">
        <x:v>Yes</x:v>
      </x:c>
      <x:c r="H249" s="15" t="str">
        <x:v>Closed with explanation</x:v>
      </x:c>
      <x:c r="I249" s="15" t="str">
        <x:v>Web</x:v>
      </x:c>
      <x:c r="J249" s="16" t="d">
        <x:v>2026-09-30T00:00:00.000Z</x:v>
      </x:c>
      <x:c r="K249" s="15" t="str">
        <x:v>Checking account</x:v>
      </x:c>
      <x:c r="L249" s="15" t="str">
        <x:v>Money was taken from your account on the wrong day or for the wrong amount</x:v>
      </x:c>
      <x:c r="M249" s="15" t="str">
        <x:f>_xlfn.XLOOKUP(C249,'Lookups'!$A$7:$A$8,'Lookups'!$B$7:$B$8,"Unmapped",0)</x:f>
        <x:v>Deposit operations</x:v>
      </x:c>
      <x:c r="N249" s="14" t="n">
        <x:f>DATE(YEAR(B249),MONTH(B249),1)</x:f>
        <x:v>46266</x:v>
      </x:c>
    </x:row>
    <x:row r="250" ht="55" customHeight="1">
      <x:c r="A250" s="13" t="str">
        <x:v>28686071</x:v>
      </x:c>
      <x:c r="B250" s="14" t="d">
        <x:v>2026-09-30T00:00:00.000Z</x:v>
      </x:c>
      <x:c r="C250" s="15" t="str">
        <x:v>Checking or savings account</x:v>
      </x:c>
      <x:c r="D250" s="15" t="str">
        <x:v>Managing an account</x:v>
      </x:c>
      <x:c r="E250" s="15" t="str">
        <x:v>PINNACLE FINANCIAL PARTNERS, INC.</x:v>
      </x:c>
      <x:c r="F250" s="15" t="str">
        <x:v>FL</x:v>
      </x:c>
      <x:c r="G250" s="15" t="str">
        <x:v>Yes</x:v>
      </x:c>
      <x:c r="H250" s="15" t="str">
        <x:v>Closed with explanation</x:v>
      </x:c>
      <x:c r="I250" s="15" t="str">
        <x:v>Web</x:v>
      </x:c>
      <x:c r="J250" s="16" t="d">
        <x:v>2026-09-30T00:00:00.000Z</x:v>
      </x:c>
      <x:c r="K250" s="15" t="str">
        <x:v>Checking account</x:v>
      </x:c>
      <x:c r="L250" s="15" t="str">
        <x:v>Deposits and withdrawals</x:v>
      </x:c>
      <x:c r="M250" s="15" t="str">
        <x:f>_xlfn.XLOOKUP(C250,'Lookups'!$A$7:$A$8,'Lookups'!$B$7:$B$8,"Unmapped",0)</x:f>
        <x:v>Deposit operations</x:v>
      </x:c>
      <x:c r="N250" s="14" t="n">
        <x:f>DATE(YEAR(B250),MONTH(B250),1)</x:f>
        <x:v>46266</x:v>
      </x:c>
    </x:row>
    <x:row r="251" ht="55" customHeight="1">
      <x:c r="A251" s="13" t="str">
        <x:v>28686104</x:v>
      </x:c>
      <x:c r="B251" s="14" t="d">
        <x:v>2026-09-30T00:00:00.000Z</x:v>
      </x:c>
      <x:c r="C251" s="15" t="str">
        <x:v>Checking or savings account</x:v>
      </x:c>
      <x:c r="D251" s="15" t="str">
        <x:v>Managing an account</x:v>
      </x:c>
      <x:c r="E251" s="15" t="str">
        <x:v>Chime Financial Inc</x:v>
      </x:c>
      <x:c r="F251" s="15" t="str">
        <x:v>VT</x:v>
      </x:c>
      <x:c r="G251" s="15" t="str">
        <x:v>Yes</x:v>
      </x:c>
      <x:c r="H251" s="15" t="str">
        <x:v>In progress</x:v>
      </x:c>
      <x:c r="I251" s="15" t="str">
        <x:v>Web</x:v>
      </x:c>
      <x:c r="J251" s="16" t="d">
        <x:v>2026-09-30T00:00:00.000Z</x:v>
      </x:c>
      <x:c r="K251" s="15" t="str">
        <x:v>Other banking product or service</x:v>
      </x:c>
      <x:c r="L251" s="15" t="str">
        <x:v>Problem using a debit or ATM card</x:v>
      </x:c>
      <x:c r="M251" s="15" t="str">
        <x:f>_xlfn.XLOOKUP(C251,'Lookups'!$A$7:$A$8,'Lookups'!$B$7:$B$8,"Unmapped",0)</x:f>
        <x:v>Deposit operations</x:v>
      </x:c>
      <x:c r="N251" s="14" t="n">
        <x:f>DATE(YEAR(B251),MONTH(B251),1)</x:f>
        <x:v>46266</x:v>
      </x:c>
    </x:row>
    <x:row r="252" ht="55" customHeight="1">
      <x:c r="A252" s="13" t="str">
        <x:v>28686107</x:v>
      </x:c>
      <x:c r="B252" s="14" t="d">
        <x:v>2026-09-30T00:00:00.000Z</x:v>
      </x:c>
      <x:c r="C252" s="15" t="str">
        <x:v>Checking or savings account</x:v>
      </x:c>
      <x:c r="D252" s="15" t="str">
        <x:v>Opening an account</x:v>
      </x:c>
      <x:c r="E252" s="15" t="str">
        <x:v>TD BANK US HOLDING COMPANY</x:v>
      </x:c>
      <x:c r="F252" s="15" t="str">
        <x:v>FL</x:v>
      </x:c>
      <x:c r="G252" s="15" t="str">
        <x:v>Yes</x:v>
      </x:c>
      <x:c r="H252" s="15" t="str">
        <x:v>Closed with monetary relief</x:v>
      </x:c>
      <x:c r="I252" s="15" t="str">
        <x:v>Web</x:v>
      </x:c>
      <x:c r="J252" s="16" t="d">
        <x:v>2026-09-30T00:00:00.000Z</x:v>
      </x:c>
      <x:c r="K252" s="15" t="str">
        <x:v>Checking account</x:v>
      </x:c>
      <x:c r="L252" s="15" t="str">
        <x:v>Didn't receive terms that were advertised</x:v>
      </x:c>
      <x:c r="M252" s="15" t="str">
        <x:f>_xlfn.XLOOKUP(C252,'Lookups'!$A$7:$A$8,'Lookups'!$B$7:$B$8,"Unmapped",0)</x:f>
        <x:v>Deposit operations</x:v>
      </x:c>
      <x:c r="N252" s="14" t="n">
        <x:f>DATE(YEAR(B252),MONTH(B252),1)</x:f>
        <x:v>46266</x:v>
      </x:c>
    </x:row>
    <x:row r="253" ht="55" customHeight="1">
      <x:c r="A253" s="13" t="str">
        <x:v>28686671</x:v>
      </x:c>
      <x:c r="B253" s="14" t="d">
        <x:v>2026-09-30T00:00:00.000Z</x:v>
      </x:c>
      <x:c r="C253" s="15" t="str">
        <x:v>Credit card</x:v>
      </x:c>
      <x:c r="D253" s="15" t="str">
        <x:v>Problem with a purchase shown on your statement</x:v>
      </x:c>
      <x:c r="E253" s="15" t="str">
        <x:v>WELLS FARGO &amp; COMPANY</x:v>
      </x:c>
      <x:c r="F253" s="15" t="str">
        <x:v>KY</x:v>
      </x:c>
      <x:c r="G253" s="15" t="str">
        <x:v>Yes</x:v>
      </x:c>
      <x:c r="H253" s="15" t="str">
        <x:v>In progress</x:v>
      </x:c>
      <x:c r="I253" s="15" t="str">
        <x:v>Web</x:v>
      </x:c>
      <x:c r="J253" s="16" t="d">
        <x:v>2026-09-30T00:00:00.000Z</x:v>
      </x:c>
      <x:c r="K253" s="15" t="str">
        <x:v>General-purpose credit card or charge card</x:v>
      </x:c>
      <x:c r="L253" s="15" t="str">
        <x:v>Credit card company isn't resolving a dispute about a purchase on your statement</x:v>
      </x:c>
      <x:c r="M253" s="15" t="str">
        <x:f>_xlfn.XLOOKUP(C253,'Lookups'!$A$7:$A$8,'Lookups'!$B$7:$B$8,"Unmapped",0)</x:f>
        <x:v>Card operations</x:v>
      </x:c>
      <x:c r="N253" s="14" t="n">
        <x:f>DATE(YEAR(B253),MONTH(B253),1)</x:f>
        <x:v>46266</x:v>
      </x:c>
    </x:row>
    <x:row r="254" ht="55" customHeight="1">
      <x:c r="A254" s="13" t="str">
        <x:v>28686680</x:v>
      </x:c>
      <x:c r="B254" s="14" t="d">
        <x:v>2026-09-30T00:00:00.000Z</x:v>
      </x:c>
      <x:c r="C254" s="15" t="str">
        <x:v>Credit card</x:v>
      </x:c>
      <x:c r="D254" s="15" t="str">
        <x:v>Getting a credit card</x:v>
      </x:c>
      <x:c r="E254" s="15" t="str">
        <x:v>CAPITAL ONE FINANCIAL CORPORATION</x:v>
      </x:c>
      <x:c r="F254" s="15" t="str">
        <x:v>FL</x:v>
      </x:c>
      <x:c r="G254" s="15" t="str">
        <x:v>Yes</x:v>
      </x:c>
      <x:c r="H254" s="15" t="str">
        <x:v>In progress</x:v>
      </x:c>
      <x:c r="I254" s="15" t="str">
        <x:v>Web</x:v>
      </x:c>
      <x:c r="J254" s="16" t="d">
        <x:v>2026-09-30T00:00:00.000Z</x:v>
      </x:c>
      <x:c r="K254" s="15" t="str">
        <x:v>General-purpose credit card or charge card</x:v>
      </x:c>
      <x:c r="L254" s="15" t="str">
        <x:v>Application denied</x:v>
      </x:c>
      <x:c r="M254" s="15" t="str">
        <x:f>_xlfn.XLOOKUP(C254,'Lookups'!$A$7:$A$8,'Lookups'!$B$7:$B$8,"Unmapped",0)</x:f>
        <x:v>Card operations</x:v>
      </x:c>
      <x:c r="N254" s="14" t="n">
        <x:f>DATE(YEAR(B254),MONTH(B254),1)</x:f>
        <x:v>46266</x:v>
      </x:c>
    </x:row>
    <x:row r="255" ht="55" customHeight="1">
      <x:c r="A255" s="13" t="str">
        <x:v>28686688</x:v>
      </x:c>
      <x:c r="B255" s="14" t="d">
        <x:v>2026-09-30T00:00:00.000Z</x:v>
      </x:c>
      <x:c r="C255" s="15" t="str">
        <x:v>Checking or savings account</x:v>
      </x:c>
      <x:c r="D255" s="15" t="str">
        <x:v>Managing an account</x:v>
      </x:c>
      <x:c r="E255" s="15" t="str">
        <x:v>CITIZENS FINANCIAL GROUP, INC.</x:v>
      </x:c>
      <x:c r="F255" s="15" t="str">
        <x:v>CO</x:v>
      </x:c>
      <x:c r="G255" s="15" t="str">
        <x:v>Yes</x:v>
      </x:c>
      <x:c r="H255" s="15" t="str">
        <x:v>Closed with explanation</x:v>
      </x:c>
      <x:c r="I255" s="15" t="str">
        <x:v>Web</x:v>
      </x:c>
      <x:c r="J255" s="16" t="d">
        <x:v>2026-09-30T00:00:00.000Z</x:v>
      </x:c>
      <x:c r="K255" s="15" t="str">
        <x:v>Checking account</x:v>
      </x:c>
      <x:c r="L255" s="15" t="str">
        <x:v>Deposits and withdrawals</x:v>
      </x:c>
      <x:c r="M255" s="15" t="str">
        <x:f>_xlfn.XLOOKUP(C255,'Lookups'!$A$7:$A$8,'Lookups'!$B$7:$B$8,"Unmapped",0)</x:f>
        <x:v>Deposit operations</x:v>
      </x:c>
      <x:c r="N255" s="14" t="n">
        <x:f>DATE(YEAR(B255),MONTH(B255),1)</x:f>
        <x:v>46266</x:v>
      </x:c>
    </x:row>
    <x:row r="256" ht="55" customHeight="1">
      <x:c r="A256" s="13" t="str">
        <x:v>28687239</x:v>
      </x:c>
      <x:c r="B256" s="14" t="d">
        <x:v>2026-09-30T00:00:00.000Z</x:v>
      </x:c>
      <x:c r="C256" s="15" t="str">
        <x:v>Checking or savings account</x:v>
      </x:c>
      <x:c r="D256" s="15" t="str">
        <x:v>Managing an account</x:v>
      </x:c>
      <x:c r="E256" s="15" t="str">
        <x:v>NAVY FEDERAL CREDIT UNION</x:v>
      </x:c>
      <x:c r="F256" s="15" t="str">
        <x:v>NY</x:v>
      </x:c>
      <x:c r="G256" s="15" t="str">
        <x:v>Yes</x:v>
      </x:c>
      <x:c r="H256" s="15" t="str">
        <x:v>In progress</x:v>
      </x:c>
      <x:c r="I256" s="15" t="str">
        <x:v>Web</x:v>
      </x:c>
      <x:c r="J256" s="16" t="d">
        <x:v>2026-09-30T00:00:00.000Z</x:v>
      </x:c>
      <x:c r="K256" s="15" t="str">
        <x:v>Checking account</x:v>
      </x:c>
      <x:c r="L256" s="15" t="str">
        <x:v>Problem making or receiving payments</x:v>
      </x:c>
      <x:c r="M256" s="15" t="str">
        <x:f>_xlfn.XLOOKUP(C256,'Lookups'!$A$7:$A$8,'Lookups'!$B$7:$B$8,"Unmapped",0)</x:f>
        <x:v>Deposit operations</x:v>
      </x:c>
      <x:c r="N256" s="14" t="n">
        <x:f>DATE(YEAR(B256),MONTH(B256),1)</x:f>
        <x:v>46266</x:v>
      </x:c>
    </x:row>
    <x:row r="257" ht="55" customHeight="1">
      <x:c r="A257" s="13" t="str">
        <x:v>28687247</x:v>
      </x:c>
      <x:c r="B257" s="14" t="d">
        <x:v>2026-09-30T00:00:00.000Z</x:v>
      </x:c>
      <x:c r="C257" s="15" t="str">
        <x:v>Checking or savings account</x:v>
      </x:c>
      <x:c r="D257" s="15" t="str">
        <x:v>Managing an account</x:v>
      </x:c>
      <x:c r="E257" s="15" t="str">
        <x:v>WELLS FARGO &amp; COMPANY</x:v>
      </x:c>
      <x:c r="F257" s="15" t="str">
        <x:v>PA</x:v>
      </x:c>
      <x:c r="G257" s="15" t="str">
        <x:v>Yes</x:v>
      </x:c>
      <x:c r="H257" s="15" t="str">
        <x:v>Closed with explanation</x:v>
      </x:c>
      <x:c r="I257" s="15" t="str">
        <x:v>Web</x:v>
      </x:c>
      <x:c r="J257" s="16" t="d">
        <x:v>2026-09-30T00:00:00.000Z</x:v>
      </x:c>
      <x:c r="K257" s="15" t="str">
        <x:v>Other banking product or service</x:v>
      </x:c>
      <x:c r="L257" s="15" t="str">
        <x:v>Problem accessing account</x:v>
      </x:c>
      <x:c r="M257" s="15" t="str">
        <x:f>_xlfn.XLOOKUP(C257,'Lookups'!$A$7:$A$8,'Lookups'!$B$7:$B$8,"Unmapped",0)</x:f>
        <x:v>Deposit operations</x:v>
      </x:c>
      <x:c r="N257" s="14" t="n">
        <x:f>DATE(YEAR(B257),MONTH(B257),1)</x:f>
        <x:v>46266</x:v>
      </x:c>
    </x:row>
    <x:row r="258" ht="55" customHeight="1">
      <x:c r="A258" s="13" t="str">
        <x:v>28687355</x:v>
      </x:c>
      <x:c r="B258" s="14" t="d">
        <x:v>2026-09-30T00:00:00.000Z</x:v>
      </x:c>
      <x:c r="C258" s="15" t="str">
        <x:v>Checking or savings account</x:v>
      </x:c>
      <x:c r="D258" s="15" t="str">
        <x:v>Problem with a lender or other company charging your account</x:v>
      </x:c>
      <x:c r="E258" s="15" t="str">
        <x:v>Chime Financial Inc</x:v>
      </x:c>
      <x:c r="F258" s="15" t="str">
        <x:v>MA</x:v>
      </x:c>
      <x:c r="G258" s="15" t="str">
        <x:v>Yes</x:v>
      </x:c>
      <x:c r="H258" s="15" t="str">
        <x:v>In progress</x:v>
      </x:c>
      <x:c r="I258" s="15" t="str">
        <x:v>Web</x:v>
      </x:c>
      <x:c r="J258" s="16" t="d">
        <x:v>2026-09-30T00:00:00.000Z</x:v>
      </x:c>
      <x:c r="K258" s="15" t="str">
        <x:v>Checking account</x:v>
      </x:c>
      <x:c r="L258" s="15" t="str">
        <x:v>Transaction was not authorized</x:v>
      </x:c>
      <x:c r="M258" s="15" t="str">
        <x:f>_xlfn.XLOOKUP(C258,'Lookups'!$A$7:$A$8,'Lookups'!$B$7:$B$8,"Unmapped",0)</x:f>
        <x:v>Deposit operations</x:v>
      </x:c>
      <x:c r="N258" s="14" t="n">
        <x:f>DATE(YEAR(B258),MONTH(B258),1)</x:f>
        <x:v>46266</x:v>
      </x:c>
    </x:row>
    <x:row r="259" ht="55" customHeight="1">
      <x:c r="A259" s="13" t="str">
        <x:v>28687374</x:v>
      </x:c>
      <x:c r="B259" s="14" t="d">
        <x:v>2026-09-30T00:00:00.000Z</x:v>
      </x:c>
      <x:c r="C259" s="15" t="str">
        <x:v>Checking or savings account</x:v>
      </x:c>
      <x:c r="D259" s="15" t="str">
        <x:v>Managing an account</x:v>
      </x:c>
      <x:c r="E259" s="15" t="str">
        <x:v>WELLS FARGO &amp; COMPANY</x:v>
      </x:c>
      <x:c r="F259" s="15" t="str">
        <x:v>FL</x:v>
      </x:c>
      <x:c r="G259" s="15" t="str">
        <x:v>Yes</x:v>
      </x:c>
      <x:c r="H259" s="15" t="str">
        <x:v>In progress</x:v>
      </x:c>
      <x:c r="I259" s="15" t="str">
        <x:v>Web</x:v>
      </x:c>
      <x:c r="J259" s="16" t="d">
        <x:v>2026-09-30T00:00:00.000Z</x:v>
      </x:c>
      <x:c r="K259" s="15" t="str">
        <x:v>Other banking product or service</x:v>
      </x:c>
      <x:c r="L259" s="15" t="str">
        <x:v>Deposits and withdrawals</x:v>
      </x:c>
      <x:c r="M259" s="15" t="str">
        <x:f>_xlfn.XLOOKUP(C259,'Lookups'!$A$7:$A$8,'Lookups'!$B$7:$B$8,"Unmapped",0)</x:f>
        <x:v>Deposit operations</x:v>
      </x:c>
      <x:c r="N259" s="14" t="n">
        <x:f>DATE(YEAR(B259),MONTH(B259),1)</x:f>
        <x:v>46266</x:v>
      </x:c>
    </x:row>
    <x:row r="260" ht="55" customHeight="1">
      <x:c r="A260" s="13" t="str">
        <x:v>28687397</x:v>
      </x:c>
      <x:c r="B260" s="14" t="d">
        <x:v>2026-09-30T00:00:00.000Z</x:v>
      </x:c>
      <x:c r="C260" s="15" t="str">
        <x:v>Checking or savings account</x:v>
      </x:c>
      <x:c r="D260" s="15" t="str">
        <x:v>Managing an account</x:v>
      </x:c>
      <x:c r="E260" s="15" t="str">
        <x:v>BANK OF AMERICA, NATIONAL ASSOCIATION</x:v>
      </x:c>
      <x:c r="F260" s="15" t="str">
        <x:v>GA</x:v>
      </x:c>
      <x:c r="G260" s="15" t="str">
        <x:v>Yes</x:v>
      </x:c>
      <x:c r="H260" s="15" t="str">
        <x:v>In progress</x:v>
      </x:c>
      <x:c r="I260" s="15" t="str">
        <x:v>Postal mail</x:v>
      </x:c>
      <x:c r="J260" s="16" t="d">
        <x:v>2026-09-30T00:00:00.000Z</x:v>
      </x:c>
      <x:c r="K260" s="15" t="str">
        <x:v>Checking account</x:v>
      </x:c>
      <x:c r="L260" s="15" t="str">
        <x:v>Problem using a debit or ATM card</x:v>
      </x:c>
      <x:c r="M260" s="15" t="str">
        <x:f>_xlfn.XLOOKUP(C260,'Lookups'!$A$7:$A$8,'Lookups'!$B$7:$B$8,"Unmapped",0)</x:f>
        <x:v>Deposit operations</x:v>
      </x:c>
      <x:c r="N260" s="14" t="n">
        <x:f>DATE(YEAR(B260),MONTH(B260),1)</x:f>
        <x:v>46266</x:v>
      </x:c>
    </x:row>
    <x:row r="261" ht="55" customHeight="1">
      <x:c r="A261" s="13" t="str">
        <x:v>28687474</x:v>
      </x:c>
      <x:c r="B261" s="14" t="d">
        <x:v>2026-09-30T00:00:00.000Z</x:v>
      </x:c>
      <x:c r="C261" s="15" t="str">
        <x:v>Checking or savings account</x:v>
      </x:c>
      <x:c r="D261" s="15" t="str">
        <x:v>Managing an account</x:v>
      </x:c>
      <x:c r="E261" s="15" t="str">
        <x:v>JPMORGAN CHASE &amp; CO.</x:v>
      </x:c>
      <x:c r="F261" s="15" t="str">
        <x:v>TX</x:v>
      </x:c>
      <x:c r="G261" s="15" t="str">
        <x:v>Yes</x:v>
      </x:c>
      <x:c r="H261" s="15" t="str">
        <x:v>Closed with explanation</x:v>
      </x:c>
      <x:c r="I261" s="15" t="str">
        <x:v>Web</x:v>
      </x:c>
      <x:c r="J261" s="16" t="d">
        <x:v>2026-09-30T00:00:00.000Z</x:v>
      </x:c>
      <x:c r="K261" s="15" t="str">
        <x:v>Checking account</x:v>
      </x:c>
      <x:c r="L261" s="15" t="str">
        <x:v>Deposits and withdrawals</x:v>
      </x:c>
      <x:c r="M261" s="15" t="str">
        <x:f>_xlfn.XLOOKUP(C261,'Lookups'!$A$7:$A$8,'Lookups'!$B$7:$B$8,"Unmapped",0)</x:f>
        <x:v>Deposit operations</x:v>
      </x:c>
      <x:c r="N261" s="14" t="n">
        <x:f>DATE(YEAR(B261),MONTH(B261),1)</x:f>
        <x:v>46266</x:v>
      </x:c>
    </x:row>
    <x:row r="262" ht="55" customHeight="1">
      <x:c r="A262" s="13" t="str">
        <x:v>28687492</x:v>
      </x:c>
      <x:c r="B262" s="14" t="d">
        <x:v>2026-09-30T00:00:00.000Z</x:v>
      </x:c>
      <x:c r="C262" s="15" t="str">
        <x:v>Credit card</x:v>
      </x:c>
      <x:c r="D262" s="15" t="str">
        <x:v>Getting a credit card</x:v>
      </x:c>
      <x:c r="E262" s="15" t="str">
        <x:v>TRANSUNION INTERMEDIATE HOLDINGS, INC.</x:v>
      </x:c>
      <x:c r="F262" s="15" t="str">
        <x:v>IL</x:v>
      </x:c>
      <x:c r="G262" s="15" t="str">
        <x:v>Yes</x:v>
      </x:c>
      <x:c r="H262" s="15" t="str">
        <x:v>In progress</x:v>
      </x:c>
      <x:c r="I262" s="15" t="str">
        <x:v>Web</x:v>
      </x:c>
      <x:c r="J262" s="16" t="d">
        <x:v>2026-09-30T00:00:00.000Z</x:v>
      </x:c>
      <x:c r="K262" s="15" t="str">
        <x:v>General-purpose credit card or charge card</x:v>
      </x:c>
      <x:c r="L262" s="15" t="str">
        <x:v>Card opened without my consent or knowledge</x:v>
      </x:c>
      <x:c r="M262" s="15" t="str">
        <x:f>_xlfn.XLOOKUP(C262,'Lookups'!$A$7:$A$8,'Lookups'!$B$7:$B$8,"Unmapped",0)</x:f>
        <x:v>Card operations</x:v>
      </x:c>
      <x:c r="N262" s="14" t="n">
        <x:f>DATE(YEAR(B262),MONTH(B262),1)</x:f>
        <x:v>46266</x:v>
      </x:c>
    </x:row>
    <x:row r="263" ht="55" customHeight="1">
      <x:c r="A263" s="13" t="str">
        <x:v>28687508</x:v>
      </x:c>
      <x:c r="B263" s="14" t="d">
        <x:v>2026-09-30T00:00:00.000Z</x:v>
      </x:c>
      <x:c r="C263" s="15" t="str">
        <x:v>Checking or savings account</x:v>
      </x:c>
      <x:c r="D263" s="15" t="str">
        <x:v>Managing an account</x:v>
      </x:c>
      <x:c r="E263" s="15" t="str">
        <x:v>TRUIST FINANCIAL CORPORATION</x:v>
      </x:c>
      <x:c r="F263" s="15" t="str">
        <x:v>NC</x:v>
      </x:c>
      <x:c r="G263" s="15" t="str">
        <x:v>Yes</x:v>
      </x:c>
      <x:c r="H263" s="15" t="str">
        <x:v>In progress</x:v>
      </x:c>
      <x:c r="I263" s="15" t="str">
        <x:v>Web</x:v>
      </x:c>
      <x:c r="J263" s="16" t="d">
        <x:v>2026-09-30T00:00:00.000Z</x:v>
      </x:c>
      <x:c r="K263" s="15" t="str">
        <x:v>Checking account</x:v>
      </x:c>
      <x:c r="L263" s="15" t="str">
        <x:v>Funds not handled or disbursed as instructed</x:v>
      </x:c>
      <x:c r="M263" s="15" t="str">
        <x:f>_xlfn.XLOOKUP(C263,'Lookups'!$A$7:$A$8,'Lookups'!$B$7:$B$8,"Unmapped",0)</x:f>
        <x:v>Deposit operations</x:v>
      </x:c>
      <x:c r="N263" s="14" t="n">
        <x:f>DATE(YEAR(B263),MONTH(B263),1)</x:f>
        <x:v>46266</x:v>
      </x:c>
    </x:row>
    <x:row r="264" ht="55" customHeight="1">
      <x:c r="A264" s="13" t="str">
        <x:v>28687656</x:v>
      </x:c>
      <x:c r="B264" s="14" t="d">
        <x:v>2026-09-30T00:00:00.000Z</x:v>
      </x:c>
      <x:c r="C264" s="15" t="str">
        <x:v>Checking or savings account</x:v>
      </x:c>
      <x:c r="D264" s="15" t="str">
        <x:v>Problem with a lender or other company charging your account</x:v>
      </x:c>
      <x:c r="E264" s="15" t="str">
        <x:v>BANK OF AMERICA, NATIONAL ASSOCIATION</x:v>
      </x:c>
      <x:c r="F264" s="15" t="str">
        <x:v>VA</x:v>
      </x:c>
      <x:c r="G264" s="15" t="str">
        <x:v>Yes</x:v>
      </x:c>
      <x:c r="H264" s="15" t="str">
        <x:v>In progress</x:v>
      </x:c>
      <x:c r="I264" s="15" t="str">
        <x:v>Web</x:v>
      </x:c>
      <x:c r="J264" s="16" t="d">
        <x:v>2026-09-30T00:00:00.000Z</x:v>
      </x:c>
      <x:c r="K264" s="15" t="str">
        <x:v>Checking account</x:v>
      </x:c>
      <x:c r="L264" s="15" t="str">
        <x:v>Money was taken from your account on the wrong day or for the wrong amount</x:v>
      </x:c>
      <x:c r="M264" s="15" t="str">
        <x:f>_xlfn.XLOOKUP(C264,'Lookups'!$A$7:$A$8,'Lookups'!$B$7:$B$8,"Unmapped",0)</x:f>
        <x:v>Deposit operations</x:v>
      </x:c>
      <x:c r="N264" s="14" t="n">
        <x:f>DATE(YEAR(B264),MONTH(B264),1)</x:f>
        <x:v>46266</x:v>
      </x:c>
    </x:row>
    <x:row r="265" ht="55" customHeight="1">
      <x:c r="A265" s="13" t="str">
        <x:v>28687687</x:v>
      </x:c>
      <x:c r="B265" s="14" t="d">
        <x:v>2026-09-30T00:00:00.000Z</x:v>
      </x:c>
      <x:c r="C265" s="15" t="str">
        <x:v>Checking or savings account</x:v>
      </x:c>
      <x:c r="D265" s="15" t="str">
        <x:v>Problem with a lender or other company charging your account</x:v>
      </x:c>
      <x:c r="E265" s="15" t="str">
        <x:v>TD BANK US HOLDING COMPANY</x:v>
      </x:c>
      <x:c r="F265" s="15" t="str">
        <x:v>CT</x:v>
      </x:c>
      <x:c r="G265" s="15" t="str">
        <x:v>Yes</x:v>
      </x:c>
      <x:c r="H265" s="15" t="str">
        <x:v>In progress</x:v>
      </x:c>
      <x:c r="I265" s="15" t="str">
        <x:v>Web</x:v>
      </x:c>
      <x:c r="J265" s="16" t="d">
        <x:v>2026-09-30T00:00:00.000Z</x:v>
      </x:c>
      <x:c r="K265" s="15" t="str">
        <x:v>Checking account</x:v>
      </x:c>
      <x:c r="L265" s="15" t="str">
        <x:v>Money was taken from your account on the wrong day or for the wrong amount</x:v>
      </x:c>
      <x:c r="M265" s="15" t="str">
        <x:f>_xlfn.XLOOKUP(C265,'Lookups'!$A$7:$A$8,'Lookups'!$B$7:$B$8,"Unmapped",0)</x:f>
        <x:v>Deposit operations</x:v>
      </x:c>
      <x:c r="N265" s="14" t="n">
        <x:f>DATE(YEAR(B265),MONTH(B265),1)</x:f>
        <x:v>46266</x:v>
      </x:c>
    </x:row>
    <x:row r="266" ht="55" customHeight="1">
      <x:c r="A266" s="13" t="str">
        <x:v>28687714</x:v>
      </x:c>
      <x:c r="B266" s="14" t="d">
        <x:v>2026-09-30T00:00:00.000Z</x:v>
      </x:c>
      <x:c r="C266" s="15" t="str">
        <x:v>Credit card</x:v>
      </x:c>
      <x:c r="D266" s="15" t="str">
        <x:v>Closing your account</x:v>
      </x:c>
      <x:c r="E266" s="15" t="str">
        <x:v>SYNCHRONY FINANCIAL</x:v>
      </x:c>
      <x:c r="F266" s="15" t="str">
        <x:v>MI</x:v>
      </x:c>
      <x:c r="G266" s="15" t="str">
        <x:v>Yes</x:v>
      </x:c>
      <x:c r="H266" s="15" t="str">
        <x:v>In progress</x:v>
      </x:c>
      <x:c r="I266" s="15" t="str">
        <x:v>Web</x:v>
      </x:c>
      <x:c r="J266" s="16" t="d">
        <x:v>2026-09-30T00:00:00.000Z</x:v>
      </x:c>
      <x:c r="K266" s="15" t="str">
        <x:v>Store credit card</x:v>
      </x:c>
      <x:c r="L266" s="15" t="str">
        <x:v>Company closed your account</x:v>
      </x:c>
      <x:c r="M266" s="15" t="str">
        <x:f>_xlfn.XLOOKUP(C266,'Lookups'!$A$7:$A$8,'Lookups'!$B$7:$B$8,"Unmapped",0)</x:f>
        <x:v>Card operations</x:v>
      </x:c>
      <x:c r="N266" s="14" t="n">
        <x:f>DATE(YEAR(B266),MONTH(B266),1)</x:f>
        <x:v>46266</x:v>
      </x:c>
    </x:row>
    <x:row r="267" ht="55" customHeight="1">
      <x:c r="A267" s="13" t="str">
        <x:v>28687814</x:v>
      </x:c>
      <x:c r="B267" s="14" t="d">
        <x:v>2026-09-30T00:00:00.000Z</x:v>
      </x:c>
      <x:c r="C267" s="15" t="str">
        <x:v>Checking or savings account</x:v>
      </x:c>
      <x:c r="D267" s="15" t="str">
        <x:v>Closing an account</x:v>
      </x:c>
      <x:c r="E267" s="15" t="str">
        <x:v>BANK OF AMERICA, NATIONAL ASSOCIATION</x:v>
      </x:c>
      <x:c r="F267" s="15" t="str">
        <x:v>MO</x:v>
      </x:c>
      <x:c r="G267" s="15" t="str">
        <x:v>Yes</x:v>
      </x:c>
      <x:c r="H267" s="15" t="str">
        <x:v>In progress</x:v>
      </x:c>
      <x:c r="I267" s="15" t="str">
        <x:v>Web</x:v>
      </x:c>
      <x:c r="J267" s="16" t="d">
        <x:v>2026-09-30T00:00:00.000Z</x:v>
      </x:c>
      <x:c r="K267" s="15" t="str">
        <x:v>Checking account</x:v>
      </x:c>
      <x:c r="L267" s="15" t="str">
        <x:v>Funds not received from closed account</x:v>
      </x:c>
      <x:c r="M267" s="15" t="str">
        <x:f>_xlfn.XLOOKUP(C267,'Lookups'!$A$7:$A$8,'Lookups'!$B$7:$B$8,"Unmapped",0)</x:f>
        <x:v>Deposit operations</x:v>
      </x:c>
      <x:c r="N267" s="14" t="n">
        <x:f>DATE(YEAR(B267),MONTH(B267),1)</x:f>
        <x:v>46266</x:v>
      </x:c>
    </x:row>
    <x:row r="268" ht="55" customHeight="1">
      <x:c r="A268" s="13" t="str">
        <x:v>28687833</x:v>
      </x:c>
      <x:c r="B268" s="14" t="d">
        <x:v>2026-09-30T00:00:00.000Z</x:v>
      </x:c>
      <x:c r="C268" s="15" t="str">
        <x:v>Credit card</x:v>
      </x:c>
      <x:c r="D268" s="15" t="str">
        <x:v>Fees or interest</x:v>
      </x:c>
      <x:c r="E268" s="15" t="str">
        <x:v>SYNCHRONY FINANCIAL</x:v>
      </x:c>
      <x:c r="F268" s="15" t="str">
        <x:v>PA</x:v>
      </x:c>
      <x:c r="G268" s="15" t="str">
        <x:v>Yes</x:v>
      </x:c>
      <x:c r="H268" s="15" t="str">
        <x:v>In progress</x:v>
      </x:c>
      <x:c r="I268" s="15" t="str">
        <x:v>Web</x:v>
      </x:c>
      <x:c r="J268" s="16" t="d">
        <x:v>2026-09-30T00:00:00.000Z</x:v>
      </x:c>
      <x:c r="K268" s="15" t="str">
        <x:v>General-purpose credit card or charge card</x:v>
      </x:c>
      <x:c r="L268" s="15" t="str">
        <x:v>Charged too much interest</x:v>
      </x:c>
      <x:c r="M268" s="15" t="str">
        <x:f>_xlfn.XLOOKUP(C268,'Lookups'!$A$7:$A$8,'Lookups'!$B$7:$B$8,"Unmapped",0)</x:f>
        <x:v>Card operations</x:v>
      </x:c>
      <x:c r="N268" s="14" t="n">
        <x:f>DATE(YEAR(B268),MONTH(B268),1)</x:f>
        <x:v>46266</x:v>
      </x:c>
    </x:row>
    <x:row r="269" ht="55" customHeight="1">
      <x:c r="A269" s="13" t="str">
        <x:v>28687896</x:v>
      </x:c>
      <x:c r="B269" s="14" t="d">
        <x:v>2026-09-30T00:00:00.000Z</x:v>
      </x:c>
      <x:c r="C269" s="15" t="str">
        <x:v>Checking or savings account</x:v>
      </x:c>
      <x:c r="D269" s="15" t="str">
        <x:v>Managing an account</x:v>
      </x:c>
      <x:c r="E269" s="15" t="str">
        <x:v>JPMORGAN CHASE &amp; CO.</x:v>
      </x:c>
      <x:c r="F269" s="15" t="str">
        <x:v>NJ</x:v>
      </x:c>
      <x:c r="G269" s="15" t="str">
        <x:v>Yes</x:v>
      </x:c>
      <x:c r="H269" s="15" t="str">
        <x:v>Closed with explanation</x:v>
      </x:c>
      <x:c r="I269" s="15" t="str">
        <x:v>Web</x:v>
      </x:c>
      <x:c r="J269" s="16" t="d">
        <x:v>2026-09-30T00:00:00.000Z</x:v>
      </x:c>
      <x:c r="K269" s="15" t="str">
        <x:v>Checking account</x:v>
      </x:c>
      <x:c r="L269" s="15" t="str">
        <x:v>Cashing a check</x:v>
      </x:c>
      <x:c r="M269" s="15" t="str">
        <x:f>_xlfn.XLOOKUP(C269,'Lookups'!$A$7:$A$8,'Lookups'!$B$7:$B$8,"Unmapped",0)</x:f>
        <x:v>Deposit operations</x:v>
      </x:c>
      <x:c r="N269" s="14" t="n">
        <x:f>DATE(YEAR(B269),MONTH(B269),1)</x:f>
        <x:v>46266</x:v>
      </x:c>
    </x:row>
    <x:row r="270" ht="55" customHeight="1">
      <x:c r="A270" s="13" t="str">
        <x:v>28687986</x:v>
      </x:c>
      <x:c r="B270" s="14" t="d">
        <x:v>2026-09-30T00:00:00.000Z</x:v>
      </x:c>
      <x:c r="C270" s="15" t="str">
        <x:v>Checking or savings account</x:v>
      </x:c>
      <x:c r="D270" s="15" t="str">
        <x:v>Problem caused by your funds being low</x:v>
      </x:c>
      <x:c r="E270" s="15" t="str">
        <x:v>CITIBANK, N.A.</x:v>
      </x:c>
      <x:c r="F270" s="15" t="str">
        <x:v>NY</x:v>
      </x:c>
      <x:c r="G270" s="15" t="str">
        <x:v>Yes</x:v>
      </x:c>
      <x:c r="H270" s="15" t="str">
        <x:v>Closed with monetary relief</x:v>
      </x:c>
      <x:c r="I270" s="15" t="str">
        <x:v>Web</x:v>
      </x:c>
      <x:c r="J270" s="16" t="d">
        <x:v>2026-09-30T00:00:00.000Z</x:v>
      </x:c>
      <x:c r="K270" s="15" t="str">
        <x:v>Checking account</x:v>
      </x:c>
      <x:c r="L270" s="15" t="str">
        <x:v>Non-sufficient funds and associated fees</x:v>
      </x:c>
      <x:c r="M270" s="15" t="str">
        <x:f>_xlfn.XLOOKUP(C270,'Lookups'!$A$7:$A$8,'Lookups'!$B$7:$B$8,"Unmapped",0)</x:f>
        <x:v>Deposit operations</x:v>
      </x:c>
      <x:c r="N270" s="14" t="n">
        <x:f>DATE(YEAR(B270),MONTH(B270),1)</x:f>
        <x:v>46266</x:v>
      </x:c>
    </x:row>
    <x:row r="271" ht="55" customHeight="1">
      <x:c r="A271" s="13" t="str">
        <x:v>28688115</x:v>
      </x:c>
      <x:c r="B271" s="14" t="d">
        <x:v>2026-09-30T00:00:00.000Z</x:v>
      </x:c>
      <x:c r="C271" s="15" t="str">
        <x:v>Credit card</x:v>
      </x:c>
      <x:c r="D271" s="15" t="str">
        <x:v>Getting a credit card</x:v>
      </x:c>
      <x:c r="E271" s="15" t="str">
        <x:v>CAPITAL ONE FINANCIAL CORPORATION</x:v>
      </x:c>
      <x:c r="F271" s="15" t="str">
        <x:v>GA</x:v>
      </x:c>
      <x:c r="G271" s="15" t="str">
        <x:v>Yes</x:v>
      </x:c>
      <x:c r="H271" s="15" t="str">
        <x:v>Closed with explanation</x:v>
      </x:c>
      <x:c r="I271" s="15" t="str">
        <x:v>Web</x:v>
      </x:c>
      <x:c r="J271" s="16" t="d">
        <x:v>2026-09-30T00:00:00.000Z</x:v>
      </x:c>
      <x:c r="K271" s="15" t="str">
        <x:v>General-purpose credit card or charge card</x:v>
      </x:c>
      <x:c r="L271" s="15" t="str">
        <x:v>Application denied</x:v>
      </x:c>
      <x:c r="M271" s="15" t="str">
        <x:f>_xlfn.XLOOKUP(C271,'Lookups'!$A$7:$A$8,'Lookups'!$B$7:$B$8,"Unmapped",0)</x:f>
        <x:v>Card operations</x:v>
      </x:c>
      <x:c r="N271" s="14" t="n">
        <x:f>DATE(YEAR(B271),MONTH(B271),1)</x:f>
        <x:v>46266</x:v>
      </x:c>
    </x:row>
    <x:row r="272" ht="55" customHeight="1">
      <x:c r="A272" s="13" t="str">
        <x:v>28688146</x:v>
      </x:c>
      <x:c r="B272" s="14" t="d">
        <x:v>2026-09-30T00:00:00.000Z</x:v>
      </x:c>
      <x:c r="C272" s="15" t="str">
        <x:v>Credit card</x:v>
      </x:c>
      <x:c r="D272" s="15" t="str">
        <x:v>Closing your account</x:v>
      </x:c>
      <x:c r="E272" s="15" t="str">
        <x:v>SYNCHRONY FINANCIAL</x:v>
      </x:c>
      <x:c r="F272" s="15" t="str">
        <x:v>FL</x:v>
      </x:c>
      <x:c r="G272" s="15" t="str">
        <x:v>Yes</x:v>
      </x:c>
      <x:c r="H272" s="15" t="str">
        <x:v>In progress</x:v>
      </x:c>
      <x:c r="I272" s="15" t="str">
        <x:v>Phone</x:v>
      </x:c>
      <x:c r="J272" s="16" t="d">
        <x:v>2026-09-30T00:00:00.000Z</x:v>
      </x:c>
      <x:c r="K272" s="15" t="str">
        <x:v>Store credit card</x:v>
      </x:c>
      <x:c r="L272" s="15" t="str">
        <x:v>Company closed your account</x:v>
      </x:c>
      <x:c r="M272" s="15" t="str">
        <x:f>_xlfn.XLOOKUP(C272,'Lookups'!$A$7:$A$8,'Lookups'!$B$7:$B$8,"Unmapped",0)</x:f>
        <x:v>Card operations</x:v>
      </x:c>
      <x:c r="N272" s="14" t="n">
        <x:f>DATE(YEAR(B272),MONTH(B272),1)</x:f>
        <x:v>46266</x:v>
      </x:c>
    </x:row>
    <x:row r="273" ht="55" customHeight="1">
      <x:c r="A273" s="13" t="str">
        <x:v>28688152</x:v>
      </x:c>
      <x:c r="B273" s="14" t="d">
        <x:v>2026-09-30T00:00:00.000Z</x:v>
      </x:c>
      <x:c r="C273" s="15" t="str">
        <x:v>Credit card</x:v>
      </x:c>
      <x:c r="D273" s="15" t="str">
        <x:v>Problem with a purchase shown on your statement</x:v>
      </x:c>
      <x:c r="E273" s="15" t="str">
        <x:v>AMERICAN EXPRESS COMPANY</x:v>
      </x:c>
      <x:c r="F273" s="15" t="str">
        <x:v>CA</x:v>
      </x:c>
      <x:c r="G273" s="15" t="str">
        <x:v>Yes</x:v>
      </x:c>
      <x:c r="H273" s="15" t="str">
        <x:v>Closed with monetary relief</x:v>
      </x:c>
      <x:c r="I273" s="15" t="str">
        <x:v>Web</x:v>
      </x:c>
      <x:c r="J273" s="16" t="d">
        <x:v>2026-09-30T00:00:00.000Z</x:v>
      </x:c>
      <x:c r="K273" s="15" t="str">
        <x:v>General-purpose credit card or charge card</x:v>
      </x:c>
      <x:c r="L273" s="15" t="str">
        <x:v>Credit card company isn't resolving a dispute about a purchase on your statement</x:v>
      </x:c>
      <x:c r="M273" s="15" t="str">
        <x:f>_xlfn.XLOOKUP(C273,'Lookups'!$A$7:$A$8,'Lookups'!$B$7:$B$8,"Unmapped",0)</x:f>
        <x:v>Card operations</x:v>
      </x:c>
      <x:c r="N273" s="14" t="n">
        <x:f>DATE(YEAR(B273),MONTH(B273),1)</x:f>
        <x:v>46266</x:v>
      </x:c>
    </x:row>
    <x:row r="274" ht="55" customHeight="1">
      <x:c r="A274" s="13" t="str">
        <x:v>28688155</x:v>
      </x:c>
      <x:c r="B274" s="14" t="d">
        <x:v>2026-09-30T00:00:00.000Z</x:v>
      </x:c>
      <x:c r="C274" s="15" t="str">
        <x:v>Credit card</x:v>
      </x:c>
      <x:c r="D274" s="15" t="str">
        <x:v>Trouble using your card</x:v>
      </x:c>
      <x:c r="E274" s="15" t="str">
        <x:v>AMERICAN EXPRESS COMPANY</x:v>
      </x:c>
      <x:c r="F274" s="15" t="str">
        <x:v>CO</x:v>
      </x:c>
      <x:c r="G274" s="15" t="str">
        <x:v>Yes</x:v>
      </x:c>
      <x:c r="H274" s="15" t="str">
        <x:v>Closed with explanation</x:v>
      </x:c>
      <x:c r="I274" s="15" t="str">
        <x:v>Web</x:v>
      </x:c>
      <x:c r="J274" s="16" t="d">
        <x:v>2026-09-30T00:00:00.000Z</x:v>
      </x:c>
      <x:c r="K274" s="15" t="str">
        <x:v>General-purpose credit card or charge card</x:v>
      </x:c>
      <x:c r="L274" s="15" t="str">
        <x:v>Credit card company won't increase or decrease your credit limit</x:v>
      </x:c>
      <x:c r="M274" s="15" t="str">
        <x:f>_xlfn.XLOOKUP(C274,'Lookups'!$A$7:$A$8,'Lookups'!$B$7:$B$8,"Unmapped",0)</x:f>
        <x:v>Card operations</x:v>
      </x:c>
      <x:c r="N274" s="14" t="n">
        <x:f>DATE(YEAR(B274),MONTH(B274),1)</x:f>
        <x:v>46266</x:v>
      </x:c>
    </x:row>
    <x:row r="275" ht="55" customHeight="1">
      <x:c r="A275" s="13" t="str">
        <x:v>28688157</x:v>
      </x:c>
      <x:c r="B275" s="14" t="d">
        <x:v>2026-09-30T00:00:00.000Z</x:v>
      </x:c>
      <x:c r="C275" s="15" t="str">
        <x:v>Checking or savings account</x:v>
      </x:c>
      <x:c r="D275" s="15" t="str">
        <x:v>Managing an account</x:v>
      </x:c>
      <x:c r="E275" s="15" t="str">
        <x:v>WELLS FARGO &amp; COMPANY</x:v>
      </x:c>
      <x:c r="F275" s="15" t="str">
        <x:v>TX</x:v>
      </x:c>
      <x:c r="G275" s="15" t="str">
        <x:v>Yes</x:v>
      </x:c>
      <x:c r="H275" s="15" t="str">
        <x:v>Closed with explanation</x:v>
      </x:c>
      <x:c r="I275" s="15" t="str">
        <x:v>Web</x:v>
      </x:c>
      <x:c r="J275" s="16" t="d">
        <x:v>2026-09-30T00:00:00.000Z</x:v>
      </x:c>
      <x:c r="K275" s="15" t="str">
        <x:v>Savings account</x:v>
      </x:c>
      <x:c r="L275" s="15" t="str">
        <x:v>Problem accessing account</x:v>
      </x:c>
      <x:c r="M275" s="15" t="str">
        <x:f>_xlfn.XLOOKUP(C275,'Lookups'!$A$7:$A$8,'Lookups'!$B$7:$B$8,"Unmapped",0)</x:f>
        <x:v>Deposit operations</x:v>
      </x:c>
      <x:c r="N275" s="14" t="n">
        <x:f>DATE(YEAR(B275),MONTH(B275),1)</x:f>
        <x:v>46266</x:v>
      </x:c>
    </x:row>
    <x:row r="276" ht="55" customHeight="1">
      <x:c r="A276" s="13" t="str">
        <x:v>28688161</x:v>
      </x:c>
      <x:c r="B276" s="14" t="d">
        <x:v>2026-09-30T00:00:00.000Z</x:v>
      </x:c>
      <x:c r="C276" s="15" t="str">
        <x:v>Credit card</x:v>
      </x:c>
      <x:c r="D276" s="15" t="str">
        <x:v>Closing your account</x:v>
      </x:c>
      <x:c r="E276" s="15" t="str">
        <x:v>CITIBANK, N.A.</x:v>
      </x:c>
      <x:c r="F276" s="15" t="str">
        <x:v>NJ</x:v>
      </x:c>
      <x:c r="G276" s="15" t="str">
        <x:v>Yes</x:v>
      </x:c>
      <x:c r="H276" s="15" t="str">
        <x:v>Closed with non-monetary relief</x:v>
      </x:c>
      <x:c r="I276" s="15" t="str">
        <x:v>Postal mail</x:v>
      </x:c>
      <x:c r="J276" s="16" t="d">
        <x:v>2026-09-30T00:00:00.000Z</x:v>
      </x:c>
      <x:c r="K276" s="15" t="str">
        <x:v>General-purpose credit card or charge card</x:v>
      </x:c>
      <x:c r="L276" s="15" t="str">
        <x:v>Company closed your account</x:v>
      </x:c>
      <x:c r="M276" s="15" t="str">
        <x:f>_xlfn.XLOOKUP(C276,'Lookups'!$A$7:$A$8,'Lookups'!$B$7:$B$8,"Unmapped",0)</x:f>
        <x:v>Card operations</x:v>
      </x:c>
      <x:c r="N276" s="14" t="n">
        <x:f>DATE(YEAR(B276),MONTH(B276),1)</x:f>
        <x:v>46266</x:v>
      </x:c>
    </x:row>
    <x:row r="277" ht="55" customHeight="1">
      <x:c r="A277" s="13" t="str">
        <x:v>28688214</x:v>
      </x:c>
      <x:c r="B277" s="14" t="d">
        <x:v>2026-09-30T00:00:00.000Z</x:v>
      </x:c>
      <x:c r="C277" s="15" t="str">
        <x:v>Checking or savings account</x:v>
      </x:c>
      <x:c r="D277" s="15" t="str">
        <x:v>Managing an account</x:v>
      </x:c>
      <x:c r="E277" s="15" t="str">
        <x:v>TD BANK US HOLDING COMPANY</x:v>
      </x:c>
      <x:c r="F277" s="15" t="str">
        <x:v>NY</x:v>
      </x:c>
      <x:c r="G277" s="15" t="str">
        <x:v>Yes</x:v>
      </x:c>
      <x:c r="H277" s="15" t="str">
        <x:v>Closed with non-monetary relief</x:v>
      </x:c>
      <x:c r="I277" s="15" t="str">
        <x:v>Web</x:v>
      </x:c>
      <x:c r="J277" s="16" t="d">
        <x:v>2026-09-30T00:00:00.000Z</x:v>
      </x:c>
      <x:c r="K277" s="15" t="str">
        <x:v>Checking account</x:v>
      </x:c>
      <x:c r="L277" s="15" t="str">
        <x:v>Problem accessing account</x:v>
      </x:c>
      <x:c r="M277" s="15" t="str">
        <x:f>_xlfn.XLOOKUP(C277,'Lookups'!$A$7:$A$8,'Lookups'!$B$7:$B$8,"Unmapped",0)</x:f>
        <x:v>Deposit operations</x:v>
      </x:c>
      <x:c r="N277" s="14" t="n">
        <x:f>DATE(YEAR(B277),MONTH(B277),1)</x:f>
        <x:v>46266</x:v>
      </x:c>
    </x:row>
    <x:row r="278" ht="55" customHeight="1">
      <x:c r="A278" s="13" t="str">
        <x:v>28688235</x:v>
      </x:c>
      <x:c r="B278" s="14" t="d">
        <x:v>2026-09-30T00:00:00.000Z</x:v>
      </x:c>
      <x:c r="C278" s="15" t="str">
        <x:v>Checking or savings account</x:v>
      </x:c>
      <x:c r="D278" s="15" t="str">
        <x:v>Problem with a lender or other company charging your account</x:v>
      </x:c>
      <x:c r="E278" s="15" t="str">
        <x:v>JPMORGAN CHASE &amp; CO.</x:v>
      </x:c>
      <x:c r="F278" s="15" t="str">
        <x:v>NY</x:v>
      </x:c>
      <x:c r="G278" s="15" t="str">
        <x:v>Yes</x:v>
      </x:c>
      <x:c r="H278" s="15" t="str">
        <x:v>Closed with explanation</x:v>
      </x:c>
      <x:c r="I278" s="15" t="str">
        <x:v>Web</x:v>
      </x:c>
      <x:c r="J278" s="16" t="d">
        <x:v>2026-09-30T00:00:00.000Z</x:v>
      </x:c>
      <x:c r="K278" s="15" t="str">
        <x:v>Checking account</x:v>
      </x:c>
      <x:c r="L278" s="15" t="str">
        <x:v>Transaction was not authorized</x:v>
      </x:c>
      <x:c r="M278" s="15" t="str">
        <x:f>_xlfn.XLOOKUP(C278,'Lookups'!$A$7:$A$8,'Lookups'!$B$7:$B$8,"Unmapped",0)</x:f>
        <x:v>Deposit operations</x:v>
      </x:c>
      <x:c r="N278" s="14" t="n">
        <x:f>DATE(YEAR(B278),MONTH(B278),1)</x:f>
        <x:v>46266</x:v>
      </x:c>
    </x:row>
    <x:row r="279" ht="55" customHeight="1">
      <x:c r="A279" s="13" t="str">
        <x:v>28688353</x:v>
      </x:c>
      <x:c r="B279" s="14" t="d">
        <x:v>2026-09-30T00:00:00.000Z</x:v>
      </x:c>
      <x:c r="C279" s="15" t="str">
        <x:v>Checking or savings account</x:v>
      </x:c>
      <x:c r="D279" s="15" t="str">
        <x:v>Managing an account</x:v>
      </x:c>
      <x:c r="E279" s="15" t="str">
        <x:v>UNITED SERVICES AUTOMOBILE ASSOCIATION</x:v>
      </x:c>
      <x:c r="F279" s="15" t="str">
        <x:v>CT</x:v>
      </x:c>
      <x:c r="G279" s="15" t="str">
        <x:v>Yes</x:v>
      </x:c>
      <x:c r="H279" s="15" t="str">
        <x:v>Closed with explanation</x:v>
      </x:c>
      <x:c r="I279" s="15" t="str">
        <x:v>Web</x:v>
      </x:c>
      <x:c r="J279" s="16" t="d">
        <x:v>2026-09-30T00:00:00.000Z</x:v>
      </x:c>
      <x:c r="K279" s="15" t="str">
        <x:v>Checking account</x:v>
      </x:c>
      <x:c r="L279" s="15" t="str">
        <x:v>Deposits and withdrawals</x:v>
      </x:c>
      <x:c r="M279" s="15" t="str">
        <x:f>_xlfn.XLOOKUP(C279,'Lookups'!$A$7:$A$8,'Lookups'!$B$7:$B$8,"Unmapped",0)</x:f>
        <x:v>Deposit operations</x:v>
      </x:c>
      <x:c r="N279" s="14" t="n">
        <x:f>DATE(YEAR(B279),MONTH(B279),1)</x:f>
        <x:v>46266</x:v>
      </x:c>
    </x:row>
    <x:row r="280" ht="55" customHeight="1">
      <x:c r="A280" s="13" t="str">
        <x:v>28688469</x:v>
      </x:c>
      <x:c r="B280" s="14" t="d">
        <x:v>2026-09-30T00:00:00.000Z</x:v>
      </x:c>
      <x:c r="C280" s="15" t="str">
        <x:v>Credit card</x:v>
      </x:c>
      <x:c r="D280" s="15" t="str">
        <x:v>Fees or interest</x:v>
      </x:c>
      <x:c r="E280" s="15" t="str">
        <x:v>CITIBANK, N.A.</x:v>
      </x:c>
      <x:c r="F280" s="15" t="str">
        <x:v>FL</x:v>
      </x:c>
      <x:c r="G280" s="15" t="str">
        <x:v>Yes</x:v>
      </x:c>
      <x:c r="H280" s="15" t="str">
        <x:v>Closed with explanation</x:v>
      </x:c>
      <x:c r="I280" s="15" t="str">
        <x:v>Web</x:v>
      </x:c>
      <x:c r="J280" s="16" t="d">
        <x:v>2026-09-30T00:00:00.000Z</x:v>
      </x:c>
      <x:c r="K280" s="15" t="str">
        <x:v>General-purpose credit card or charge card</x:v>
      </x:c>
      <x:c r="L280" s="15" t="str">
        <x:v>Problem with fees</x:v>
      </x:c>
      <x:c r="M280" s="15" t="str">
        <x:f>_xlfn.XLOOKUP(C280,'Lookups'!$A$7:$A$8,'Lookups'!$B$7:$B$8,"Unmapped",0)</x:f>
        <x:v>Card operations</x:v>
      </x:c>
      <x:c r="N280" s="14" t="n">
        <x:f>DATE(YEAR(B280),MONTH(B280),1)</x:f>
        <x:v>46266</x:v>
      </x:c>
    </x:row>
    <x:row r="281" ht="55" customHeight="1">
      <x:c r="A281" s="13" t="str">
        <x:v>28688598</x:v>
      </x:c>
      <x:c r="B281" s="14" t="d">
        <x:v>2026-09-30T00:00:00.000Z</x:v>
      </x:c>
      <x:c r="C281" s="15" t="str">
        <x:v>Credit card</x:v>
      </x:c>
      <x:c r="D281" s="15" t="str">
        <x:v>Problem when making payments</x:v>
      </x:c>
      <x:c r="E281" s="15" t="str">
        <x:v>Harpeth Financial Services, LLC</x:v>
      </x:c>
      <x:c r="F281" s="15" t="str">
        <x:v>UT</x:v>
      </x:c>
      <x:c r="G281" s="15" t="str">
        <x:v>Yes</x:v>
      </x:c>
      <x:c r="H281" s="15" t="str">
        <x:v>Closed with explanation</x:v>
      </x:c>
      <x:c r="I281" s="15" t="str">
        <x:v>Web</x:v>
      </x:c>
      <x:c r="J281" s="16" t="d">
        <x:v>2026-09-30T00:00:00.000Z</x:v>
      </x:c>
      <x:c r="K281" s="15" t="str">
        <x:v>General-purpose credit card or charge card</x:v>
      </x:c>
      <x:c r="L281" s="15" t="str">
        <x:v>Problem during payment process</x:v>
      </x:c>
      <x:c r="M281" s="15" t="str">
        <x:f>_xlfn.XLOOKUP(C281,'Lookups'!$A$7:$A$8,'Lookups'!$B$7:$B$8,"Unmapped",0)</x:f>
        <x:v>Card operations</x:v>
      </x:c>
      <x:c r="N281" s="14" t="n">
        <x:f>DATE(YEAR(B281),MONTH(B281),1)</x:f>
        <x:v>46266</x:v>
      </x:c>
    </x:row>
    <x:row r="282" ht="55" customHeight="1">
      <x:c r="A282" s="13" t="str">
        <x:v>28688608</x:v>
      </x:c>
      <x:c r="B282" s="14" t="d">
        <x:v>2026-09-30T00:00:00.000Z</x:v>
      </x:c>
      <x:c r="C282" s="15" t="str">
        <x:v>Credit card</x:v>
      </x:c>
      <x:c r="D282" s="15" t="str">
        <x:v>Fees or interest</x:v>
      </x:c>
      <x:c r="E282" s="15" t="str">
        <x:v>Affirm Holdings, Inc</x:v>
      </x:c>
      <x:c r="F282" s="15" t="str">
        <x:v>CA</x:v>
      </x:c>
      <x:c r="G282" s="15" t="str">
        <x:v>Yes</x:v>
      </x:c>
      <x:c r="H282" s="15" t="str">
        <x:v>Closed with explanation</x:v>
      </x:c>
      <x:c r="I282" s="15" t="str">
        <x:v>Web</x:v>
      </x:c>
      <x:c r="J282" s="16" t="d">
        <x:v>2026-09-30T00:00:00.000Z</x:v>
      </x:c>
      <x:c r="K282" s="15" t="str">
        <x:v>Store credit card</x:v>
      </x:c>
      <x:c r="L282" s="15" t="str">
        <x:v>Problem with fees</x:v>
      </x:c>
      <x:c r="M282" s="15" t="str">
        <x:f>_xlfn.XLOOKUP(C282,'Lookups'!$A$7:$A$8,'Lookups'!$B$7:$B$8,"Unmapped",0)</x:f>
        <x:v>Card operations</x:v>
      </x:c>
      <x:c r="N282" s="14" t="n">
        <x:f>DATE(YEAR(B282),MONTH(B282),1)</x:f>
        <x:v>46266</x:v>
      </x:c>
    </x:row>
    <x:row r="283" ht="55" customHeight="1">
      <x:c r="A283" s="13" t="str">
        <x:v>28688632</x:v>
      </x:c>
      <x:c r="B283" s="14" t="d">
        <x:v>2026-09-30T00:00:00.000Z</x:v>
      </x:c>
      <x:c r="C283" s="15" t="str">
        <x:v>Checking or savings account</x:v>
      </x:c>
      <x:c r="D283" s="15" t="str">
        <x:v>Problem caused by your funds being low</x:v>
      </x:c>
      <x:c r="E283" s="15" t="str">
        <x:v>WELLS FARGO &amp; COMPANY</x:v>
      </x:c>
      <x:c r="F283" s="15" t="str">
        <x:v>MN</x:v>
      </x:c>
      <x:c r="G283" s="15" t="str">
        <x:v>Yes</x:v>
      </x:c>
      <x:c r="H283" s="15" t="str">
        <x:v>Closed with monetary relief</x:v>
      </x:c>
      <x:c r="I283" s="15" t="str">
        <x:v>Web</x:v>
      </x:c>
      <x:c r="J283" s="16" t="d">
        <x:v>2026-09-30T00:00:00.000Z</x:v>
      </x:c>
      <x:c r="K283" s="15" t="str">
        <x:v>Checking account</x:v>
      </x:c>
      <x:c r="L283" s="15" t="str">
        <x:v>Non-sufficient funds and associated fees</x:v>
      </x:c>
      <x:c r="M283" s="15" t="str">
        <x:f>_xlfn.XLOOKUP(C283,'Lookups'!$A$7:$A$8,'Lookups'!$B$7:$B$8,"Unmapped",0)</x:f>
        <x:v>Deposit operations</x:v>
      </x:c>
      <x:c r="N283" s="14" t="n">
        <x:f>DATE(YEAR(B283),MONTH(B283),1)</x:f>
        <x:v>46266</x:v>
      </x:c>
    </x:row>
    <x:row r="284" ht="55" customHeight="1">
      <x:c r="A284" s="13" t="str">
        <x:v>28688859</x:v>
      </x:c>
      <x:c r="B284" s="14" t="d">
        <x:v>2026-09-30T00:00:00.000Z</x:v>
      </x:c>
      <x:c r="C284" s="15" t="str">
        <x:v>Checking or savings account</x:v>
      </x:c>
      <x:c r="D284" s="15" t="str">
        <x:v>Managing an account</x:v>
      </x:c>
      <x:c r="E284" s="15" t="str">
        <x:v>TRUIST FINANCIAL CORPORATION</x:v>
      </x:c>
      <x:c r="F284" s="15" t="str">
        <x:v>VA</x:v>
      </x:c>
      <x:c r="G284" s="15" t="str">
        <x:v>Yes</x:v>
      </x:c>
      <x:c r="H284" s="15" t="str">
        <x:v>In progress</x:v>
      </x:c>
      <x:c r="I284" s="15" t="str">
        <x:v>Web</x:v>
      </x:c>
      <x:c r="J284" s="16" t="d">
        <x:v>2026-09-30T00:00:00.000Z</x:v>
      </x:c>
      <x:c r="K284" s="15" t="str">
        <x:v>Checking account</x:v>
      </x:c>
      <x:c r="L284" s="15" t="str">
        <x:v>Funds not handled or disbursed as instructed</x:v>
      </x:c>
      <x:c r="M284" s="15" t="str">
        <x:f>_xlfn.XLOOKUP(C284,'Lookups'!$A$7:$A$8,'Lookups'!$B$7:$B$8,"Unmapped",0)</x:f>
        <x:v>Deposit operations</x:v>
      </x:c>
      <x:c r="N284" s="14" t="n">
        <x:f>DATE(YEAR(B284),MONTH(B284),1)</x:f>
        <x:v>46266</x:v>
      </x:c>
    </x:row>
    <x:row r="285" ht="55" customHeight="1">
      <x:c r="A285" s="13" t="str">
        <x:v>28689001</x:v>
      </x:c>
      <x:c r="B285" s="14" t="d">
        <x:v>2026-09-30T00:00:00.000Z</x:v>
      </x:c>
      <x:c r="C285" s="15" t="str">
        <x:v>Credit card</x:v>
      </x:c>
      <x:c r="D285" s="15" t="str">
        <x:v>Problem with a purchase shown on your statement</x:v>
      </x:c>
      <x:c r="E285" s="15" t="str">
        <x:v>CAPITAL ONE FINANCIAL CORPORATION</x:v>
      </x:c>
      <x:c r="F285" s="15" t="str">
        <x:v>IL</x:v>
      </x:c>
      <x:c r="G285" s="15" t="str">
        <x:v>Yes</x:v>
      </x:c>
      <x:c r="H285" s="15" t="str">
        <x:v>Closed with explanation</x:v>
      </x:c>
      <x:c r="I285" s="15" t="str">
        <x:v>Web</x:v>
      </x:c>
      <x:c r="J285" s="16" t="d">
        <x:v>2026-09-30T00:00:00.000Z</x:v>
      </x:c>
      <x:c r="K285" s="15" t="str">
        <x:v>General-purpose credit card or charge card</x:v>
      </x:c>
      <x:c r="L285" s="15" t="str">
        <x:v>Credit card company isn't resolving a dispute about a purchase on your statement</x:v>
      </x:c>
      <x:c r="M285" s="15" t="str">
        <x:f>_xlfn.XLOOKUP(C285,'Lookups'!$A$7:$A$8,'Lookups'!$B$7:$B$8,"Unmapped",0)</x:f>
        <x:v>Card operations</x:v>
      </x:c>
      <x:c r="N285" s="14" t="n">
        <x:f>DATE(YEAR(B285),MONTH(B285),1)</x:f>
        <x:v>46266</x:v>
      </x:c>
    </x:row>
    <x:row r="286" ht="55" customHeight="1">
      <x:c r="A286" s="13" t="str">
        <x:v>28689019</x:v>
      </x:c>
      <x:c r="B286" s="14" t="d">
        <x:v>2026-09-30T00:00:00.000Z</x:v>
      </x:c>
      <x:c r="C286" s="15" t="str">
        <x:v>Checking or savings account</x:v>
      </x:c>
      <x:c r="D286" s="15" t="str">
        <x:v>Problem caused by your funds being low</x:v>
      </x:c>
      <x:c r="E286" s="15" t="str">
        <x:v>WELLS FARGO &amp; COMPANY</x:v>
      </x:c>
      <x:c r="F286" s="15" t="str">
        <x:v>FL</x:v>
      </x:c>
      <x:c r="G286" s="15" t="str">
        <x:v>Yes</x:v>
      </x:c>
      <x:c r="H286" s="15" t="str">
        <x:v>Closed with explanation</x:v>
      </x:c>
      <x:c r="I286" s="15" t="str">
        <x:v>Web</x:v>
      </x:c>
      <x:c r="J286" s="16" t="d">
        <x:v>2026-09-30T00:00:00.000Z</x:v>
      </x:c>
      <x:c r="K286" s="15" t="str">
        <x:v>Checking account</x:v>
      </x:c>
      <x:c r="L286" s="15" t="str">
        <x:v>Non-sufficient funds and associated fees</x:v>
      </x:c>
      <x:c r="M286" s="15" t="str">
        <x:f>_xlfn.XLOOKUP(C286,'Lookups'!$A$7:$A$8,'Lookups'!$B$7:$B$8,"Unmapped",0)</x:f>
        <x:v>Deposit operations</x:v>
      </x:c>
      <x:c r="N286" s="14" t="n">
        <x:f>DATE(YEAR(B286),MONTH(B286),1)</x:f>
        <x:v>46266</x:v>
      </x:c>
    </x:row>
    <x:row r="287" ht="55" customHeight="1">
      <x:c r="A287" s="13" t="str">
        <x:v>28689077</x:v>
      </x:c>
      <x:c r="B287" s="14" t="d">
        <x:v>2026-09-30T00:00:00.000Z</x:v>
      </x:c>
      <x:c r="C287" s="15" t="str">
        <x:v>Checking or savings account</x:v>
      </x:c>
      <x:c r="D287" s="15" t="str">
        <x:v>Problem with a lender or other company charging your account</x:v>
      </x:c>
      <x:c r="E287" s="15" t="str">
        <x:v>WELLS FARGO &amp; COMPANY</x:v>
      </x:c>
      <x:c r="F287" s="15" t="str">
        <x:v>TX</x:v>
      </x:c>
      <x:c r="G287" s="15" t="str">
        <x:v>Yes</x:v>
      </x:c>
      <x:c r="H287" s="15" t="str">
        <x:v>In progress</x:v>
      </x:c>
      <x:c r="I287" s="15" t="str">
        <x:v>Web</x:v>
      </x:c>
      <x:c r="J287" s="16" t="d">
        <x:v>2026-09-30T00:00:00.000Z</x:v>
      </x:c>
      <x:c r="K287" s="15" t="str">
        <x:v>Checking account</x:v>
      </x:c>
      <x:c r="L287" s="15" t="str">
        <x:v>Can't stop withdrawals from your account</x:v>
      </x:c>
      <x:c r="M287" s="15" t="str">
        <x:f>_xlfn.XLOOKUP(C287,'Lookups'!$A$7:$A$8,'Lookups'!$B$7:$B$8,"Unmapped",0)</x:f>
        <x:v>Deposit operations</x:v>
      </x:c>
      <x:c r="N287" s="14" t="n">
        <x:f>DATE(YEAR(B287),MONTH(B287),1)</x:f>
        <x:v>46266</x:v>
      </x:c>
    </x:row>
    <x:row r="288" ht="55" customHeight="1">
      <x:c r="A288" s="13" t="str">
        <x:v>28689105</x:v>
      </x:c>
      <x:c r="B288" s="14" t="d">
        <x:v>2026-09-30T00:00:00.000Z</x:v>
      </x:c>
      <x:c r="C288" s="15" t="str">
        <x:v>Checking or savings account</x:v>
      </x:c>
      <x:c r="D288" s="15" t="str">
        <x:v>Closing an account</x:v>
      </x:c>
      <x:c r="E288" s="15" t="str">
        <x:v>ALLY FINANCIAL INC.</x:v>
      </x:c>
      <x:c r="F288" s="15" t="str">
        <x:v>CA</x:v>
      </x:c>
      <x:c r="G288" s="15" t="str">
        <x:v>Yes</x:v>
      </x:c>
      <x:c r="H288" s="15" t="str">
        <x:v>In progress</x:v>
      </x:c>
      <x:c r="I288" s="15" t="str">
        <x:v>Web</x:v>
      </x:c>
      <x:c r="J288" s="16" t="d">
        <x:v>2026-09-30T00:00:00.000Z</x:v>
      </x:c>
      <x:c r="K288" s="15" t="str">
        <x:v>Other banking product or service</x:v>
      </x:c>
      <x:c r="L288" s="15" t="str">
        <x:v>Funds not received from closed account</x:v>
      </x:c>
      <x:c r="M288" s="15" t="str">
        <x:f>_xlfn.XLOOKUP(C288,'Lookups'!$A$7:$A$8,'Lookups'!$B$7:$B$8,"Unmapped",0)</x:f>
        <x:v>Deposit operations</x:v>
      </x:c>
      <x:c r="N288" s="14" t="n">
        <x:f>DATE(YEAR(B288),MONTH(B288),1)</x:f>
        <x:v>46266</x:v>
      </x:c>
    </x:row>
    <x:row r="289" ht="55" customHeight="1">
      <x:c r="A289" s="13" t="str">
        <x:v>28689440</x:v>
      </x:c>
      <x:c r="B289" s="14" t="d">
        <x:v>2026-09-30T00:00:00.000Z</x:v>
      </x:c>
      <x:c r="C289" s="15" t="str">
        <x:v>Checking or savings account</x:v>
      </x:c>
      <x:c r="D289" s="15" t="str">
        <x:v>Managing an account</x:v>
      </x:c>
      <x:c r="E289" s="15" t="str">
        <x:v>Paypal Holdings, Inc</x:v>
      </x:c>
      <x:c r="F289" s="15" t="str">
        <x:v>NC</x:v>
      </x:c>
      <x:c r="G289" s="15" t="str">
        <x:v>Yes</x:v>
      </x:c>
      <x:c r="H289" s="15" t="str">
        <x:v>In progress</x:v>
      </x:c>
      <x:c r="I289" s="15" t="str">
        <x:v>Web</x:v>
      </x:c>
      <x:c r="J289" s="16" t="d">
        <x:v>2026-09-30T00:00:00.000Z</x:v>
      </x:c>
      <x:c r="K289" s="15" t="str">
        <x:v>Checking account</x:v>
      </x:c>
      <x:c r="L289" s="15" t="str">
        <x:v>Problem using a debit or ATM card</x:v>
      </x:c>
      <x:c r="M289" s="15" t="str">
        <x:f>_xlfn.XLOOKUP(C289,'Lookups'!$A$7:$A$8,'Lookups'!$B$7:$B$8,"Unmapped",0)</x:f>
        <x:v>Deposit operations</x:v>
      </x:c>
      <x:c r="N289" s="14" t="n">
        <x:f>DATE(YEAR(B289),MONTH(B289),1)</x:f>
        <x:v>46266</x:v>
      </x:c>
    </x:row>
    <x:row r="290" ht="55" customHeight="1">
      <x:c r="A290" s="13" t="str">
        <x:v>28689692</x:v>
      </x:c>
      <x:c r="B290" s="14" t="d">
        <x:v>2026-09-30T00:00:00.000Z</x:v>
      </x:c>
      <x:c r="C290" s="15" t="str">
        <x:v>Checking or savings account</x:v>
      </x:c>
      <x:c r="D290" s="15" t="str">
        <x:v>Managing an account</x:v>
      </x:c>
      <x:c r="E290" s="15" t="str">
        <x:v>JPMORGAN CHASE &amp; CO.</x:v>
      </x:c>
      <x:c r="F290" s="15" t="str">
        <x:v>MD</x:v>
      </x:c>
      <x:c r="G290" s="15" t="str">
        <x:v>Yes</x:v>
      </x:c>
      <x:c r="H290" s="15" t="str">
        <x:v>In progress</x:v>
      </x:c>
      <x:c r="I290" s="15" t="str">
        <x:v>Web</x:v>
      </x:c>
      <x:c r="J290" s="16" t="d">
        <x:v>2026-09-30T00:00:00.000Z</x:v>
      </x:c>
      <x:c r="K290" s="15" t="str">
        <x:v>Checking account</x:v>
      </x:c>
      <x:c r="L290" s="15" t="str">
        <x:v>Problem using a debit or ATM card</x:v>
      </x:c>
      <x:c r="M290" s="15" t="str">
        <x:f>_xlfn.XLOOKUP(C290,'Lookups'!$A$7:$A$8,'Lookups'!$B$7:$B$8,"Unmapped",0)</x:f>
        <x:v>Deposit operations</x:v>
      </x:c>
      <x:c r="N290" s="14" t="n">
        <x:f>DATE(YEAR(B290),MONTH(B290),1)</x:f>
        <x:v>46266</x:v>
      </x:c>
    </x:row>
    <x:row r="291" ht="55" customHeight="1">
      <x:c r="A291" s="13" t="str">
        <x:v>28689983</x:v>
      </x:c>
      <x:c r="B291" s="14" t="d">
        <x:v>2026-09-30T00:00:00.000Z</x:v>
      </x:c>
      <x:c r="C291" s="15" t="str">
        <x:v>Credit card</x:v>
      </x:c>
      <x:c r="D291" s="15" t="str">
        <x:v>Problem with a purchase shown on your statement</x:v>
      </x:c>
      <x:c r="E291" s="15" t="str">
        <x:v>ROBINHOOD MARKETS INC.</x:v>
      </x:c>
      <x:c r="F291" s="15" t="str">
        <x:v>KY</x:v>
      </x:c>
      <x:c r="G291" s="15" t="str">
        <x:v>Yes</x:v>
      </x:c>
      <x:c r="H291" s="15" t="str">
        <x:v>In progress</x:v>
      </x:c>
      <x:c r="I291" s="15" t="str">
        <x:v>Web</x:v>
      </x:c>
      <x:c r="J291" s="16" t="d">
        <x:v>2026-09-30T00:00:00.000Z</x:v>
      </x:c>
      <x:c r="K291" s="15" t="str">
        <x:v>General-purpose credit card or charge card</x:v>
      </x:c>
      <x:c r="L291" s="15" t="str">
        <x:v>Credit card company isn't resolving a dispute about a purchase on your statement</x:v>
      </x:c>
      <x:c r="M291" s="15" t="str">
        <x:f>_xlfn.XLOOKUP(C291,'Lookups'!$A$7:$A$8,'Lookups'!$B$7:$B$8,"Unmapped",0)</x:f>
        <x:v>Card operations</x:v>
      </x:c>
      <x:c r="N291" s="14" t="n">
        <x:f>DATE(YEAR(B291),MONTH(B291),1)</x:f>
        <x:v>46266</x:v>
      </x:c>
    </x:row>
    <x:row r="292" ht="55" customHeight="1">
      <x:c r="A292" s="13" t="str">
        <x:v>28690535</x:v>
      </x:c>
      <x:c r="B292" s="14" t="d">
        <x:v>2026-09-30T00:00:00.000Z</x:v>
      </x:c>
      <x:c r="C292" s="15" t="str">
        <x:v>Checking or savings account</x:v>
      </x:c>
      <x:c r="D292" s="15" t="str">
        <x:v>Closing an account</x:v>
      </x:c>
      <x:c r="E292" s="15" t="str">
        <x:v>JPMORGAN CHASE &amp; CO.</x:v>
      </x:c>
      <x:c r="F292" s="15" t="str">
        <x:v>NY</x:v>
      </x:c>
      <x:c r="G292" s="15" t="str">
        <x:v>Yes</x:v>
      </x:c>
      <x:c r="H292" s="15" t="str">
        <x:v>In progress</x:v>
      </x:c>
      <x:c r="I292" s="15" t="str">
        <x:v>Web</x:v>
      </x:c>
      <x:c r="J292" s="16" t="d">
        <x:v>2026-09-30T00:00:00.000Z</x:v>
      </x:c>
      <x:c r="K292" s="15" t="str">
        <x:v>Checking account</x:v>
      </x:c>
      <x:c r="L292" s="15" t="str">
        <x:v>Company closed your account</x:v>
      </x:c>
      <x:c r="M292" s="15" t="str">
        <x:f>_xlfn.XLOOKUP(C292,'Lookups'!$A$7:$A$8,'Lookups'!$B$7:$B$8,"Unmapped",0)</x:f>
        <x:v>Deposit operations</x:v>
      </x:c>
      <x:c r="N292" s="14" t="n">
        <x:f>DATE(YEAR(B292),MONTH(B292),1)</x:f>
        <x:v>46266</x:v>
      </x:c>
    </x:row>
    <x:row r="293" ht="55" customHeight="1">
      <x:c r="A293" s="13" t="str">
        <x:v>28690654</x:v>
      </x:c>
      <x:c r="B293" s="14" t="d">
        <x:v>2026-09-30T00:00:00.000Z</x:v>
      </x:c>
      <x:c r="C293" s="15" t="str">
        <x:v>Checking or savings account</x:v>
      </x:c>
      <x:c r="D293" s="15" t="str">
        <x:v>Managing an account</x:v>
      </x:c>
      <x:c r="E293" s="15" t="str">
        <x:v>JPMORGAN CHASE &amp; CO.</x:v>
      </x:c>
      <x:c r="F293" s="15" t="str">
        <x:v>CA</x:v>
      </x:c>
      <x:c r="G293" s="15" t="str">
        <x:v>Yes</x:v>
      </x:c>
      <x:c r="H293" s="15" t="str">
        <x:v>Closed with monetary relief</x:v>
      </x:c>
      <x:c r="I293" s="15" t="str">
        <x:v>Phone</x:v>
      </x:c>
      <x:c r="J293" s="16" t="d">
        <x:v>2026-09-30T00:00:00.000Z</x:v>
      </x:c>
      <x:c r="K293" s="15" t="str">
        <x:v>Checking account</x:v>
      </x:c>
      <x:c r="L293" s="15" t="str">
        <x:v>Deposits and withdrawals</x:v>
      </x:c>
      <x:c r="M293" s="15" t="str">
        <x:f>_xlfn.XLOOKUP(C293,'Lookups'!$A$7:$A$8,'Lookups'!$B$7:$B$8,"Unmapped",0)</x:f>
        <x:v>Deposit operations</x:v>
      </x:c>
      <x:c r="N293" s="14" t="n">
        <x:f>DATE(YEAR(B293),MONTH(B293),1)</x:f>
        <x:v>46266</x:v>
      </x:c>
    </x:row>
    <x:row r="294" ht="55" customHeight="1">
      <x:c r="A294" s="13" t="str">
        <x:v>28690700</x:v>
      </x:c>
      <x:c r="B294" s="14" t="d">
        <x:v>2026-09-30T00:00:00.000Z</x:v>
      </x:c>
      <x:c r="C294" s="15" t="str">
        <x:v>Checking or savings account</x:v>
      </x:c>
      <x:c r="D294" s="15" t="str">
        <x:v>Managing an account</x:v>
      </x:c>
      <x:c r="E294" s="15" t="str">
        <x:v>JPMORGAN CHASE &amp; CO.</x:v>
      </x:c>
      <x:c r="F294" s="15" t="str">
        <x:v>CT</x:v>
      </x:c>
      <x:c r="G294" s="15" t="str">
        <x:v>Yes</x:v>
      </x:c>
      <x:c r="H294" s="15" t="str">
        <x:v>Closed with explanation</x:v>
      </x:c>
      <x:c r="I294" s="15" t="str">
        <x:v>Web</x:v>
      </x:c>
      <x:c r="J294" s="16" t="d">
        <x:v>2026-09-30T00:00:00.000Z</x:v>
      </x:c>
      <x:c r="K294" s="15" t="str">
        <x:v>Checking account</x:v>
      </x:c>
      <x:c r="L294" s="15" t="str">
        <x:v>Deposits and withdrawals</x:v>
      </x:c>
      <x:c r="M294" s="15" t="str">
        <x:f>_xlfn.XLOOKUP(C294,'Lookups'!$A$7:$A$8,'Lookups'!$B$7:$B$8,"Unmapped",0)</x:f>
        <x:v>Deposit operations</x:v>
      </x:c>
      <x:c r="N294" s="14" t="n">
        <x:f>DATE(YEAR(B294),MONTH(B294),1)</x:f>
        <x:v>46266</x:v>
      </x:c>
    </x:row>
    <x:row r="295" ht="55" customHeight="1">
      <x:c r="A295" s="13" t="str">
        <x:v>28690859</x:v>
      </x:c>
      <x:c r="B295" s="14" t="d">
        <x:v>2026-09-30T00:00:00.000Z</x:v>
      </x:c>
      <x:c r="C295" s="15" t="str">
        <x:v>Checking or savings account</x:v>
      </x:c>
      <x:c r="D295" s="15" t="str">
        <x:v>Managing an account</x:v>
      </x:c>
      <x:c r="E295" s="15" t="str">
        <x:v>WELLS FARGO &amp; COMPANY</x:v>
      </x:c>
      <x:c r="F295" s="15" t="str">
        <x:v>FL</x:v>
      </x:c>
      <x:c r="G295" s="15" t="str">
        <x:v>Yes</x:v>
      </x:c>
      <x:c r="H295" s="15" t="str">
        <x:v>Closed with explanation</x:v>
      </x:c>
      <x:c r="I295" s="15" t="str">
        <x:v>Web</x:v>
      </x:c>
      <x:c r="J295" s="16" t="d">
        <x:v>2026-09-30T00:00:00.000Z</x:v>
      </x:c>
      <x:c r="K295" s="15" t="str">
        <x:v>Checking account</x:v>
      </x:c>
      <x:c r="L295" s="15" t="str">
        <x:v>Funds not handled or disbursed as instructed</x:v>
      </x:c>
      <x:c r="M295" s="15" t="str">
        <x:f>_xlfn.XLOOKUP(C295,'Lookups'!$A$7:$A$8,'Lookups'!$B$7:$B$8,"Unmapped",0)</x:f>
        <x:v>Deposit operations</x:v>
      </x:c>
      <x:c r="N295" s="14" t="n">
        <x:f>DATE(YEAR(B295),MONTH(B295),1)</x:f>
        <x:v>46266</x:v>
      </x:c>
    </x:row>
    <x:row r="296" ht="55" customHeight="1">
      <x:c r="A296" s="13" t="str">
        <x:v>28691152</x:v>
      </x:c>
      <x:c r="B296" s="14" t="d">
        <x:v>2026-09-30T00:00:00.000Z</x:v>
      </x:c>
      <x:c r="C296" s="15" t="str">
        <x:v>Credit card</x:v>
      </x:c>
      <x:c r="D296" s="15" t="str">
        <x:v>Problem when making payments</x:v>
      </x:c>
      <x:c r="E296" s="15" t="str">
        <x:v>JPMORGAN CHASE &amp; CO.</x:v>
      </x:c>
      <x:c r="F296" s="15" t="str">
        <x:v>CA</x:v>
      </x:c>
      <x:c r="G296" s="15" t="str">
        <x:v>Yes</x:v>
      </x:c>
      <x:c r="H296" s="15" t="str">
        <x:v>Closed with explanation</x:v>
      </x:c>
      <x:c r="I296" s="15" t="str">
        <x:v>Web</x:v>
      </x:c>
      <x:c r="J296" s="16" t="d">
        <x:v>2026-09-30T00:00:00.000Z</x:v>
      </x:c>
      <x:c r="K296" s="15" t="str">
        <x:v>General-purpose credit card or charge card</x:v>
      </x:c>
      <x:c r="L296" s="15" t="str">
        <x:v>Problem during payment process</x:v>
      </x:c>
      <x:c r="M296" s="15" t="str">
        <x:f>_xlfn.XLOOKUP(C296,'Lookups'!$A$7:$A$8,'Lookups'!$B$7:$B$8,"Unmapped",0)</x:f>
        <x:v>Card operations</x:v>
      </x:c>
      <x:c r="N296" s="14" t="n">
        <x:f>DATE(YEAR(B296),MONTH(B296),1)</x:f>
        <x:v>46266</x:v>
      </x:c>
    </x:row>
    <x:row r="297" ht="55" customHeight="1">
      <x:c r="A297" s="13" t="str">
        <x:v>28691230</x:v>
      </x:c>
      <x:c r="B297" s="14" t="d">
        <x:v>2026-09-30T00:00:00.000Z</x:v>
      </x:c>
      <x:c r="C297" s="15" t="str">
        <x:v>Checking or savings account</x:v>
      </x:c>
      <x:c r="D297" s="15" t="str">
        <x:v>Problem with a lender or other company charging your account</x:v>
      </x:c>
      <x:c r="E297" s="15" t="str">
        <x:v>WELLS FARGO &amp; COMPANY</x:v>
      </x:c>
      <x:c r="F297" s="15" t="str">
        <x:v>SC</x:v>
      </x:c>
      <x:c r="G297" s="15" t="str">
        <x:v>Yes</x:v>
      </x:c>
      <x:c r="H297" s="15" t="str">
        <x:v>Closed with explanation</x:v>
      </x:c>
      <x:c r="I297" s="15" t="str">
        <x:v>Web</x:v>
      </x:c>
      <x:c r="J297" s="16" t="d">
        <x:v>2026-09-30T00:00:00.000Z</x:v>
      </x:c>
      <x:c r="K297" s="15" t="str">
        <x:v>Checking account</x:v>
      </x:c>
      <x:c r="L297" s="15" t="str">
        <x:v>Money was taken from your account on the wrong day or for the wrong amount</x:v>
      </x:c>
      <x:c r="M297" s="15" t="str">
        <x:f>_xlfn.XLOOKUP(C297,'Lookups'!$A$7:$A$8,'Lookups'!$B$7:$B$8,"Unmapped",0)</x:f>
        <x:v>Deposit operations</x:v>
      </x:c>
      <x:c r="N297" s="14" t="n">
        <x:f>DATE(YEAR(B297),MONTH(B297),1)</x:f>
        <x:v>46266</x:v>
      </x:c>
    </x:row>
    <x:row r="298" ht="55" customHeight="1">
      <x:c r="A298" s="13" t="str">
        <x:v>28691279</x:v>
      </x:c>
      <x:c r="B298" s="14" t="d">
        <x:v>2026-09-30T00:00:00.000Z</x:v>
      </x:c>
      <x:c r="C298" s="15" t="str">
        <x:v>Credit card</x:v>
      </x:c>
      <x:c r="D298" s="15" t="str">
        <x:v>Other features, terms, or problems</x:v>
      </x:c>
      <x:c r="E298" s="15" t="str">
        <x:v>UNITED SERVICES AUTOMOBILE ASSOCIATION</x:v>
      </x:c>
      <x:c r="F298" s="15" t="str">
        <x:v>KS</x:v>
      </x:c>
      <x:c r="G298" s="15" t="str">
        <x:v>Yes</x:v>
      </x:c>
      <x:c r="H298" s="15" t="str">
        <x:v>Closed with explanation</x:v>
      </x:c>
      <x:c r="I298" s="15" t="str">
        <x:v>Web</x:v>
      </x:c>
      <x:c r="J298" s="16" t="d">
        <x:v>2026-09-30T00:00:00.000Z</x:v>
      </x:c>
      <x:c r="K298" s="15" t="str">
        <x:v>General-purpose credit card or charge card</x:v>
      </x:c>
      <x:c r="L298" s="15" t="str">
        <x:v>Problem with rewards from credit card</x:v>
      </x:c>
      <x:c r="M298" s="15" t="str">
        <x:f>_xlfn.XLOOKUP(C298,'Lookups'!$A$7:$A$8,'Lookups'!$B$7:$B$8,"Unmapped",0)</x:f>
        <x:v>Card operations</x:v>
      </x:c>
      <x:c r="N298" s="14" t="n">
        <x:f>DATE(YEAR(B298),MONTH(B298),1)</x:f>
        <x:v>46266</x:v>
      </x:c>
    </x:row>
    <x:row r="299" ht="55" customHeight="1">
      <x:c r="A299" s="13" t="str">
        <x:v>28691367</x:v>
      </x:c>
      <x:c r="B299" s="14" t="d">
        <x:v>2026-09-30T00:00:00.000Z</x:v>
      </x:c>
      <x:c r="C299" s="15" t="str">
        <x:v>Checking or savings account</x:v>
      </x:c>
      <x:c r="D299" s="15" t="str">
        <x:v>Managing an account</x:v>
      </x:c>
      <x:c r="E299" s="15" t="str">
        <x:v>Paypal Holdings, Inc</x:v>
      </x:c>
      <x:c r="F299" s="15" t="str">
        <x:v>FL</x:v>
      </x:c>
      <x:c r="G299" s="15" t="str">
        <x:v>Yes</x:v>
      </x:c>
      <x:c r="H299" s="15" t="str">
        <x:v>Closed with explanation</x:v>
      </x:c>
      <x:c r="I299" s="15" t="str">
        <x:v>Web</x:v>
      </x:c>
      <x:c r="J299" s="16" t="d">
        <x:v>2026-09-30T00:00:00.000Z</x:v>
      </x:c>
      <x:c r="K299" s="15" t="str">
        <x:v>Other banking product or service</x:v>
      </x:c>
      <x:c r="L299" s="15" t="str">
        <x:v>Problem accessing account</x:v>
      </x:c>
      <x:c r="M299" s="15" t="str">
        <x:f>_xlfn.XLOOKUP(C299,'Lookups'!$A$7:$A$8,'Lookups'!$B$7:$B$8,"Unmapped",0)</x:f>
        <x:v>Deposit operations</x:v>
      </x:c>
      <x:c r="N299" s="14" t="n">
        <x:f>DATE(YEAR(B299),MONTH(B299),1)</x:f>
        <x:v>46266</x:v>
      </x:c>
    </x:row>
    <x:row r="300" ht="55" customHeight="1">
      <x:c r="A300" s="13" t="str">
        <x:v>28691383</x:v>
      </x:c>
      <x:c r="B300" s="14" t="d">
        <x:v>2026-09-30T00:00:00.000Z</x:v>
      </x:c>
      <x:c r="C300" s="15" t="str">
        <x:v>Checking or savings account</x:v>
      </x:c>
      <x:c r="D300" s="15" t="str">
        <x:v>Closing an account</x:v>
      </x:c>
      <x:c r="E300" s="15" t="str">
        <x:v>WELLS FARGO &amp; COMPANY</x:v>
      </x:c>
      <x:c r="F300" s="15" t="str">
        <x:v>CA</x:v>
      </x:c>
      <x:c r="G300" s="15" t="str">
        <x:v>Yes</x:v>
      </x:c>
      <x:c r="H300" s="15" t="str">
        <x:v>In progress</x:v>
      </x:c>
      <x:c r="I300" s="15" t="str">
        <x:v>Web</x:v>
      </x:c>
      <x:c r="J300" s="16" t="d">
        <x:v>2026-09-30T00:00:00.000Z</x:v>
      </x:c>
      <x:c r="K300" s="15" t="str">
        <x:v>Checking account</x:v>
      </x:c>
      <x:c r="L300" s="15" t="str">
        <x:v>Company closed your account</x:v>
      </x:c>
      <x:c r="M300" s="15" t="str">
        <x:f>_xlfn.XLOOKUP(C300,'Lookups'!$A$7:$A$8,'Lookups'!$B$7:$B$8,"Unmapped",0)</x:f>
        <x:v>Deposit operations</x:v>
      </x:c>
      <x:c r="N300" s="14" t="n">
        <x:f>DATE(YEAR(B300),MONTH(B300),1)</x:f>
        <x:v>46266</x:v>
      </x:c>
    </x:row>
    <x:row r="301" ht="55" customHeight="1">
      <x:c r="A301" s="13" t="str">
        <x:v>28691646</x:v>
      </x:c>
      <x:c r="B301" s="14" t="d">
        <x:v>2026-09-30T00:00:00.000Z</x:v>
      </x:c>
      <x:c r="C301" s="15" t="str">
        <x:v>Checking or savings account</x:v>
      </x:c>
      <x:c r="D301" s="15" t="str">
        <x:v>Problem with a lender or other company charging your account</x:v>
      </x:c>
      <x:c r="E301" s="15" t="str">
        <x:v>Chime Financial Inc</x:v>
      </x:c>
      <x:c r="F301" s="15" t="str">
        <x:v>NC</x:v>
      </x:c>
      <x:c r="G301" s="15" t="str">
        <x:v>Yes</x:v>
      </x:c>
      <x:c r="H301" s="15" t="str">
        <x:v>In progress</x:v>
      </x:c>
      <x:c r="I301" s="15" t="str">
        <x:v>Web</x:v>
      </x:c>
      <x:c r="J301" s="16" t="d">
        <x:v>2026-09-30T00:00:00.000Z</x:v>
      </x:c>
      <x:c r="K301" s="15" t="str">
        <x:v>Checking account</x:v>
      </x:c>
      <x:c r="L301" s="15" t="str">
        <x:v>Transaction was not authorized</x:v>
      </x:c>
      <x:c r="M301" s="15" t="str">
        <x:f>_xlfn.XLOOKUP(C301,'Lookups'!$A$7:$A$8,'Lookups'!$B$7:$B$8,"Unmapped",0)</x:f>
        <x:v>Deposit operations</x:v>
      </x:c>
      <x:c r="N301" s="14" t="n">
        <x:f>DATE(YEAR(B301),MONTH(B301),1)</x:f>
        <x:v>46266</x:v>
      </x:c>
    </x:row>
    <x:row r="302" ht="55" customHeight="1">
      <x:c r="A302" s="13" t="str">
        <x:v>28692612</x:v>
      </x:c>
      <x:c r="B302" s="14" t="d">
        <x:v>2026-09-30T00:00:00.000Z</x:v>
      </x:c>
      <x:c r="C302" s="15" t="str">
        <x:v>Credit card</x:v>
      </x:c>
      <x:c r="D302" s="15" t="str">
        <x:v>Incorrect information on your report</x:v>
      </x:c>
      <x:c r="E302" s="15" t="str">
        <x:v>Bread Financial Holdings, Inc.</x:v>
      </x:c>
      <x:c r="F302" s="15" t="str">
        <x:v>AL</x:v>
      </x:c>
      <x:c r="G302" s="15" t="str">
        <x:v>Yes</x:v>
      </x:c>
      <x:c r="H302" s="15" t="str">
        <x:v>Closed with explanation</x:v>
      </x:c>
      <x:c r="I302" s="15" t="str">
        <x:v>Web</x:v>
      </x:c>
      <x:c r="J302" s="16" t="d">
        <x:v>2026-09-30T00:00:00.000Z</x:v>
      </x:c>
      <x:c r="K302" s="15" t="str">
        <x:v>Store credit card</x:v>
      </x:c>
      <x:c r="L302" s="15" t="str">
        <x:v>Account status incorrect</x:v>
      </x:c>
      <x:c r="M302" s="15" t="str">
        <x:f>_xlfn.XLOOKUP(C302,'Lookups'!$A$7:$A$8,'Lookups'!$B$7:$B$8,"Unmapped",0)</x:f>
        <x:v>Card operations</x:v>
      </x:c>
      <x:c r="N302" s="14" t="n">
        <x:f>DATE(YEAR(B302),MONTH(B302),1)</x:f>
        <x:v>46266</x:v>
      </x:c>
    </x:row>
    <x:row r="303" ht="55" customHeight="1">
      <x:c r="A303" s="13" t="str">
        <x:v>28692696</x:v>
      </x:c>
      <x:c r="B303" s="14" t="d">
        <x:v>2026-09-30T00:00:00.000Z</x:v>
      </x:c>
      <x:c r="C303" s="15" t="str">
        <x:v>Credit card</x:v>
      </x:c>
      <x:c r="D303" s="15" t="str">
        <x:v>Problem with a purchase shown on your statement</x:v>
      </x:c>
      <x:c r="E303" s="15" t="str">
        <x:v>BANK OF AMERICA, NATIONAL ASSOCIATION</x:v>
      </x:c>
      <x:c r="F303" s="15" t="str">
        <x:v>MD</x:v>
      </x:c>
      <x:c r="G303" s="15" t="str">
        <x:v>Yes</x:v>
      </x:c>
      <x:c r="H303" s="15" t="str">
        <x:v>In progress</x:v>
      </x:c>
      <x:c r="I303" s="15" t="str">
        <x:v>Web</x:v>
      </x:c>
      <x:c r="J303" s="16" t="d">
        <x:v>2026-09-30T00:00:00.000Z</x:v>
      </x:c>
      <x:c r="K303" s="15" t="str">
        <x:v>General-purpose credit card or charge card</x:v>
      </x:c>
      <x:c r="L303" s="15" t="str">
        <x:v>Credit card company isn't resolving a dispute about a purchase on your statement</x:v>
      </x:c>
      <x:c r="M303" s="15" t="str">
        <x:f>_xlfn.XLOOKUP(C303,'Lookups'!$A$7:$A$8,'Lookups'!$B$7:$B$8,"Unmapped",0)</x:f>
        <x:v>Card operations</x:v>
      </x:c>
      <x:c r="N303" s="14" t="n">
        <x:f>DATE(YEAR(B303),MONTH(B303),1)</x:f>
        <x:v>46266</x:v>
      </x:c>
    </x:row>
    <x:row r="304" ht="55" customHeight="1">
      <x:c r="A304" s="13" t="str">
        <x:v>28692751</x:v>
      </x:c>
      <x:c r="B304" s="14" t="d">
        <x:v>2026-09-30T00:00:00.000Z</x:v>
      </x:c>
      <x:c r="C304" s="15" t="str">
        <x:v>Checking or savings account</x:v>
      </x:c>
      <x:c r="D304" s="15" t="str">
        <x:v>Managing an account</x:v>
      </x:c>
      <x:c r="E304" s="15" t="str">
        <x:v>GOLDMAN SACHS BANK USA</x:v>
      </x:c>
      <x:c r="F304" s="15" t="str">
        <x:v>CA</x:v>
      </x:c>
      <x:c r="G304" s="15" t="str">
        <x:v>Yes</x:v>
      </x:c>
      <x:c r="H304" s="15" t="str">
        <x:v>Closed with explanation</x:v>
      </x:c>
      <x:c r="I304" s="15" t="str">
        <x:v>Web</x:v>
      </x:c>
      <x:c r="J304" s="16" t="d">
        <x:v>2026-09-30T00:00:00.000Z</x:v>
      </x:c>
      <x:c r="K304" s="15" t="str">
        <x:v>Savings account</x:v>
      </x:c>
      <x:c r="L304" s="15" t="str">
        <x:v>Deposits and withdrawals</x:v>
      </x:c>
      <x:c r="M304" s="15" t="str">
        <x:f>_xlfn.XLOOKUP(C304,'Lookups'!$A$7:$A$8,'Lookups'!$B$7:$B$8,"Unmapped",0)</x:f>
        <x:v>Deposit operations</x:v>
      </x:c>
      <x:c r="N304" s="14" t="n">
        <x:f>DATE(YEAR(B304),MONTH(B304),1)</x:f>
        <x:v>46266</x:v>
      </x:c>
    </x:row>
    <x:row r="305" ht="55" customHeight="1">
      <x:c r="A305" s="13" t="str">
        <x:v>28692753</x:v>
      </x:c>
      <x:c r="B305" s="14" t="d">
        <x:v>2026-09-30T00:00:00.000Z</x:v>
      </x:c>
      <x:c r="C305" s="15" t="str">
        <x:v>Credit card</x:v>
      </x:c>
      <x:c r="D305" s="15" t="str">
        <x:v>Problem with a purchase shown on your statement</x:v>
      </x:c>
      <x:c r="E305" s="15" t="str">
        <x:v>JPMORGAN CHASE &amp; CO.</x:v>
      </x:c>
      <x:c r="F305" s="15" t="str">
        <x:v>FL</x:v>
      </x:c>
      <x:c r="G305" s="15" t="str">
        <x:v>Yes</x:v>
      </x:c>
      <x:c r="H305" s="15" t="str">
        <x:v>Closed with explanation</x:v>
      </x:c>
      <x:c r="I305" s="15" t="str">
        <x:v>Web</x:v>
      </x:c>
      <x:c r="J305" s="16" t="d">
        <x:v>2026-09-30T00:00:00.000Z</x:v>
      </x:c>
      <x:c r="K305" s="15" t="str">
        <x:v>General-purpose credit card or charge card</x:v>
      </x:c>
      <x:c r="L305" s="15" t="str">
        <x:v>Credit card company isn't resolving a dispute about a purchase on your statement</x:v>
      </x:c>
      <x:c r="M305" s="15" t="str">
        <x:f>_xlfn.XLOOKUP(C305,'Lookups'!$A$7:$A$8,'Lookups'!$B$7:$B$8,"Unmapped",0)</x:f>
        <x:v>Card operations</x:v>
      </x:c>
      <x:c r="N305" s="14" t="n">
        <x:f>DATE(YEAR(B305),MONTH(B305),1)</x:f>
        <x:v>46266</x:v>
      </x:c>
    </x:row>
    <x:row r="306" ht="55" customHeight="1">
      <x:c r="A306" s="13" t="str">
        <x:v>28692874</x:v>
      </x:c>
      <x:c r="B306" s="14" t="d">
        <x:v>2026-09-30T00:00:00.000Z</x:v>
      </x:c>
      <x:c r="C306" s="15" t="str">
        <x:v>Checking or savings account</x:v>
      </x:c>
      <x:c r="D306" s="15" t="str">
        <x:v>Opening an account</x:v>
      </x:c>
      <x:c r="E306" s="15" t="str">
        <x:v>Early Warning Services, LLC</x:v>
      </x:c>
      <x:c r="F306" s="15" t="str">
        <x:v>GA</x:v>
      </x:c>
      <x:c r="G306" s="15" t="str">
        <x:v>Yes</x:v>
      </x:c>
      <x:c r="H306" s="15" t="str">
        <x:v>Closed with explanation</x:v>
      </x:c>
      <x:c r="I306" s="15" t="str">
        <x:v>Web</x:v>
      </x:c>
      <x:c r="J306" s="16" t="d">
        <x:v>2026-09-30T00:00:00.000Z</x:v>
      </x:c>
      <x:c r="K306" s="15" t="str">
        <x:v>Checking account</x:v>
      </x:c>
      <x:c r="L306" s="15" t="str">
        <x:v>Account opened without my consent or knowledge</x:v>
      </x:c>
      <x:c r="M306" s="15" t="str">
        <x:f>_xlfn.XLOOKUP(C306,'Lookups'!$A$7:$A$8,'Lookups'!$B$7:$B$8,"Unmapped",0)</x:f>
        <x:v>Deposit operations</x:v>
      </x:c>
      <x:c r="N306" s="14" t="n">
        <x:f>DATE(YEAR(B306),MONTH(B306),1)</x:f>
        <x:v>46266</x:v>
      </x:c>
    </x:row>
    <x:row r="307" ht="55" customHeight="1">
      <x:c r="A307" s="13" t="str">
        <x:v>28692882</x:v>
      </x:c>
      <x:c r="B307" s="14" t="d">
        <x:v>2026-09-30T00:00:00.000Z</x:v>
      </x:c>
      <x:c r="C307" s="15" t="str">
        <x:v>Checking or savings account</x:v>
      </x:c>
      <x:c r="D307" s="15" t="str">
        <x:v>Managing an account</x:v>
      </x:c>
      <x:c r="E307" s="15" t="str">
        <x:v>WELLS FARGO &amp; COMPANY</x:v>
      </x:c>
      <x:c r="F307" s="15" t="str">
        <x:v>TX</x:v>
      </x:c>
      <x:c r="G307" s="15" t="str">
        <x:v>Yes</x:v>
      </x:c>
      <x:c r="H307" s="15" t="str">
        <x:v>In progress</x:v>
      </x:c>
      <x:c r="I307" s="15" t="str">
        <x:v>Web</x:v>
      </x:c>
      <x:c r="J307" s="16" t="d">
        <x:v>2026-09-30T00:00:00.000Z</x:v>
      </x:c>
      <x:c r="K307" s="15" t="str">
        <x:v>Checking account</x:v>
      </x:c>
      <x:c r="L307" s="15" t="str">
        <x:v>Deposits and withdrawals</x:v>
      </x:c>
      <x:c r="M307" s="15" t="str">
        <x:f>_xlfn.XLOOKUP(C307,'Lookups'!$A$7:$A$8,'Lookups'!$B$7:$B$8,"Unmapped",0)</x:f>
        <x:v>Deposit operations</x:v>
      </x:c>
      <x:c r="N307" s="14" t="n">
        <x:f>DATE(YEAR(B307),MONTH(B307),1)</x:f>
        <x:v>46266</x:v>
      </x:c>
    </x:row>
    <x:row r="308" ht="55" customHeight="1">
      <x:c r="A308" s="13" t="str">
        <x:v>28692924</x:v>
      </x:c>
      <x:c r="B308" s="14" t="d">
        <x:v>2026-09-30T00:00:00.000Z</x:v>
      </x:c>
      <x:c r="C308" s="15" t="str">
        <x:v>Checking or savings account</x:v>
      </x:c>
      <x:c r="D308" s="15" t="str">
        <x:v>Problem with a lender or other company charging your account</x:v>
      </x:c>
      <x:c r="E308" s="15" t="str">
        <x:v>Block, Inc.</x:v>
      </x:c>
      <x:c r="F308" s="15" t="str">
        <x:v>NC</x:v>
      </x:c>
      <x:c r="G308" s="15" t="str">
        <x:v>Yes</x:v>
      </x:c>
      <x:c r="H308" s="15" t="str">
        <x:v>Closed with explanation</x:v>
      </x:c>
      <x:c r="I308" s="15" t="str">
        <x:v>Web</x:v>
      </x:c>
      <x:c r="J308" s="16" t="d">
        <x:v>2026-09-30T00:00:00.000Z</x:v>
      </x:c>
      <x:c r="K308" s="15" t="str">
        <x:v>Other banking product or service</x:v>
      </x:c>
      <x:c r="L308" s="15" t="str">
        <x:v>Transaction was not authorized</x:v>
      </x:c>
      <x:c r="M308" s="15" t="str">
        <x:f>_xlfn.XLOOKUP(C308,'Lookups'!$A$7:$A$8,'Lookups'!$B$7:$B$8,"Unmapped",0)</x:f>
        <x:v>Deposit operations</x:v>
      </x:c>
      <x:c r="N308" s="14" t="n">
        <x:f>DATE(YEAR(B308),MONTH(B308),1)</x:f>
        <x:v>46266</x:v>
      </x:c>
    </x:row>
    <x:row r="309" ht="55" customHeight="1">
      <x:c r="A309" s="13" t="str">
        <x:v>28692933</x:v>
      </x:c>
      <x:c r="B309" s="14" t="d">
        <x:v>2026-09-30T00:00:00.000Z</x:v>
      </x:c>
      <x:c r="C309" s="15" t="str">
        <x:v>Credit card</x:v>
      </x:c>
      <x:c r="D309" s="15" t="str">
        <x:v>Fees or interest</x:v>
      </x:c>
      <x:c r="E309" s="15" t="str">
        <x:v>CAPITAL ONE FINANCIAL CORPORATION</x:v>
      </x:c>
      <x:c r="F309" s="15" t="str">
        <x:v>CA</x:v>
      </x:c>
      <x:c r="G309" s="15" t="str">
        <x:v>Yes</x:v>
      </x:c>
      <x:c r="H309" s="15" t="str">
        <x:v>In progress</x:v>
      </x:c>
      <x:c r="I309" s="15" t="str">
        <x:v>Postal mail</x:v>
      </x:c>
      <x:c r="J309" s="16" t="d">
        <x:v>2026-09-30T00:00:00.000Z</x:v>
      </x:c>
      <x:c r="K309" s="15" t="str">
        <x:v>General-purpose credit card or charge card</x:v>
      </x:c>
      <x:c r="L309" s="15" t="str">
        <x:v>Problem with fees</x:v>
      </x:c>
      <x:c r="M309" s="15" t="str">
        <x:f>_xlfn.XLOOKUP(C309,'Lookups'!$A$7:$A$8,'Lookups'!$B$7:$B$8,"Unmapped",0)</x:f>
        <x:v>Card operations</x:v>
      </x:c>
      <x:c r="N309" s="14" t="n">
        <x:f>DATE(YEAR(B309),MONTH(B309),1)</x:f>
        <x:v>46266</x:v>
      </x:c>
    </x:row>
    <x:row r="310" ht="55" customHeight="1">
      <x:c r="A310" s="13" t="str">
        <x:v>28692951</x:v>
      </x:c>
      <x:c r="B310" s="14" t="d">
        <x:v>2026-09-30T00:00:00.000Z</x:v>
      </x:c>
      <x:c r="C310" s="15" t="str">
        <x:v>Checking or savings account</x:v>
      </x:c>
      <x:c r="D310" s="15" t="str">
        <x:v>Managing an account</x:v>
      </x:c>
      <x:c r="E310" s="15" t="str">
        <x:v>FIFTH THIRD FINANCIAL CORPORATION</x:v>
      </x:c>
      <x:c r="F310" s="15" t="str">
        <x:v>FL</x:v>
      </x:c>
      <x:c r="G310" s="15" t="str">
        <x:v>Yes</x:v>
      </x:c>
      <x:c r="H310" s="15" t="str">
        <x:v>In progress</x:v>
      </x:c>
      <x:c r="I310" s="15" t="str">
        <x:v>Web</x:v>
      </x:c>
      <x:c r="J310" s="16" t="d">
        <x:v>2026-09-30T00:00:00.000Z</x:v>
      </x:c>
      <x:c r="K310" s="15" t="str">
        <x:v>Checking account</x:v>
      </x:c>
      <x:c r="L310" s="15" t="str">
        <x:v>Deposits and withdrawals</x:v>
      </x:c>
      <x:c r="M310" s="15" t="str">
        <x:f>_xlfn.XLOOKUP(C310,'Lookups'!$A$7:$A$8,'Lookups'!$B$7:$B$8,"Unmapped",0)</x:f>
        <x:v>Deposit operations</x:v>
      </x:c>
      <x:c r="N310" s="14" t="n">
        <x:f>DATE(YEAR(B310),MONTH(B310),1)</x:f>
        <x:v>46266</x:v>
      </x:c>
    </x:row>
    <x:row r="311" ht="55" customHeight="1">
      <x:c r="A311" s="13" t="str">
        <x:v>28692955</x:v>
      </x:c>
      <x:c r="B311" s="14" t="d">
        <x:v>2026-09-30T00:00:00.000Z</x:v>
      </x:c>
      <x:c r="C311" s="15" t="str">
        <x:v>Checking or savings account</x:v>
      </x:c>
      <x:c r="D311" s="15" t="str">
        <x:v>Managing an account</x:v>
      </x:c>
      <x:c r="E311" s="15" t="str">
        <x:v>Paypal Holdings, Inc</x:v>
      </x:c>
      <x:c r="F311" s="15" t="str">
        <x:v>GA</x:v>
      </x:c>
      <x:c r="G311" s="15" t="str">
        <x:v>Yes</x:v>
      </x:c>
      <x:c r="H311" s="15" t="str">
        <x:v>Closed with non-monetary relief</x:v>
      </x:c>
      <x:c r="I311" s="15" t="str">
        <x:v>Web</x:v>
      </x:c>
      <x:c r="J311" s="16" t="d">
        <x:v>2026-09-30T00:00:00.000Z</x:v>
      </x:c>
      <x:c r="K311" s="15" t="str">
        <x:v>Checking account</x:v>
      </x:c>
      <x:c r="L311" s="15" t="str">
        <x:v>Deposits and withdrawals</x:v>
      </x:c>
      <x:c r="M311" s="15" t="str">
        <x:f>_xlfn.XLOOKUP(C311,'Lookups'!$A$7:$A$8,'Lookups'!$B$7:$B$8,"Unmapped",0)</x:f>
        <x:v>Deposit operations</x:v>
      </x:c>
      <x:c r="N311" s="14" t="n">
        <x:f>DATE(YEAR(B311),MONTH(B311),1)</x:f>
        <x:v>46266</x:v>
      </x:c>
    </x:row>
    <x:row r="312" ht="55" customHeight="1">
      <x:c r="A312" s="13" t="str">
        <x:v>28693026</x:v>
      </x:c>
      <x:c r="B312" s="14" t="d">
        <x:v>2026-09-30T00:00:00.000Z</x:v>
      </x:c>
      <x:c r="C312" s="15" t="str">
        <x:v>Checking or savings account</x:v>
      </x:c>
      <x:c r="D312" s="15" t="str">
        <x:v>Opening an account</x:v>
      </x:c>
      <x:c r="E312" s="15" t="str">
        <x:v>Early Warning Services, LLC</x:v>
      </x:c>
      <x:c r="F312" s="15" t="str">
        <x:v>GA</x:v>
      </x:c>
      <x:c r="G312" s="15" t="str">
        <x:v>Yes</x:v>
      </x:c>
      <x:c r="H312" s="15" t="str">
        <x:v>Closed with explanation</x:v>
      </x:c>
      <x:c r="I312" s="15" t="str">
        <x:v>Web</x:v>
      </x:c>
      <x:c r="J312" s="16" t="d">
        <x:v>2026-09-30T00:00:00.000Z</x:v>
      </x:c>
      <x:c r="K312" s="15" t="str">
        <x:v>Checking account</x:v>
      </x:c>
      <x:c r="L312" s="15" t="str">
        <x:v>Account opened without my consent or knowledge</x:v>
      </x:c>
      <x:c r="M312" s="15" t="str">
        <x:f>_xlfn.XLOOKUP(C312,'Lookups'!$A$7:$A$8,'Lookups'!$B$7:$B$8,"Unmapped",0)</x:f>
        <x:v>Deposit operations</x:v>
      </x:c>
      <x:c r="N312" s="14" t="n">
        <x:f>DATE(YEAR(B312),MONTH(B312),1)</x:f>
        <x:v>46266</x:v>
      </x:c>
    </x:row>
    <x:row r="313" ht="55" customHeight="1">
      <x:c r="A313" s="13" t="str">
        <x:v>28693117</x:v>
      </x:c>
      <x:c r="B313" s="14" t="d">
        <x:v>2026-09-30T00:00:00.000Z</x:v>
      </x:c>
      <x:c r="C313" s="15" t="str">
        <x:v>Checking or savings account</x:v>
      </x:c>
      <x:c r="D313" s="15" t="str">
        <x:v>Problem with a lender or other company charging your account</x:v>
      </x:c>
      <x:c r="E313" s="15" t="str">
        <x:v>CAPITAL ONE FINANCIAL CORPORATION</x:v>
      </x:c>
      <x:c r="F313" s="15" t="str">
        <x:v>IL</x:v>
      </x:c>
      <x:c r="G313" s="15" t="str">
        <x:v>Yes</x:v>
      </x:c>
      <x:c r="H313" s="15" t="str">
        <x:v>Closed with explanation</x:v>
      </x:c>
      <x:c r="I313" s="15" t="str">
        <x:v>Web</x:v>
      </x:c>
      <x:c r="J313" s="16" t="d">
        <x:v>2026-09-30T00:00:00.000Z</x:v>
      </x:c>
      <x:c r="K313" s="15" t="str">
        <x:v>Checking account</x:v>
      </x:c>
      <x:c r="L313" s="15" t="str">
        <x:v>Money was taken from your account on the wrong day or for the wrong amount</x:v>
      </x:c>
      <x:c r="M313" s="15" t="str">
        <x:f>_xlfn.XLOOKUP(C313,'Lookups'!$A$7:$A$8,'Lookups'!$B$7:$B$8,"Unmapped",0)</x:f>
        <x:v>Deposit operations</x:v>
      </x:c>
      <x:c r="N313" s="14" t="n">
        <x:f>DATE(YEAR(B313),MONTH(B313),1)</x:f>
        <x:v>46266</x:v>
      </x:c>
    </x:row>
    <x:row r="314" ht="55" customHeight="1">
      <x:c r="A314" s="13" t="str">
        <x:v>28693191</x:v>
      </x:c>
      <x:c r="B314" s="14" t="d">
        <x:v>2026-09-30T00:00:00.000Z</x:v>
      </x:c>
      <x:c r="C314" s="15" t="str">
        <x:v>Checking or savings account</x:v>
      </x:c>
      <x:c r="D314" s="15" t="str">
        <x:v>Closing an account</x:v>
      </x:c>
      <x:c r="E314" s="15" t="str">
        <x:v>Chime Financial Inc</x:v>
      </x:c>
      <x:c r="F314" s="15" t="str">
        <x:v>TN</x:v>
      </x:c>
      <x:c r="G314" s="15" t="str">
        <x:v>Yes</x:v>
      </x:c>
      <x:c r="H314" s="15" t="str">
        <x:v>Closed with explanation</x:v>
      </x:c>
      <x:c r="I314" s="15" t="str">
        <x:v>Web</x:v>
      </x:c>
      <x:c r="J314" s="16" t="d">
        <x:v>2026-09-30T00:00:00.000Z</x:v>
      </x:c>
      <x:c r="K314" s="15" t="str">
        <x:v>Checking account</x:v>
      </x:c>
      <x:c r="L314" s="15" t="str">
        <x:v>Funds not received from closed account</x:v>
      </x:c>
      <x:c r="M314" s="15" t="str">
        <x:f>_xlfn.XLOOKUP(C314,'Lookups'!$A$7:$A$8,'Lookups'!$B$7:$B$8,"Unmapped",0)</x:f>
        <x:v>Deposit operations</x:v>
      </x:c>
      <x:c r="N314" s="14" t="n">
        <x:f>DATE(YEAR(B314),MONTH(B314),1)</x:f>
        <x:v>46266</x:v>
      </x:c>
    </x:row>
    <x:row r="315" ht="55" customHeight="1">
      <x:c r="A315" s="13" t="str">
        <x:v>28693284</x:v>
      </x:c>
      <x:c r="B315" s="14" t="d">
        <x:v>2026-09-30T00:00:00.000Z</x:v>
      </x:c>
      <x:c r="C315" s="15" t="str">
        <x:v>Checking or savings account</x:v>
      </x:c>
      <x:c r="D315" s="15" t="str">
        <x:v>Opening an account</x:v>
      </x:c>
      <x:c r="E315" s="15" t="str">
        <x:v>Fidelity National Information Services, Inc. (FNIS)</x:v>
      </x:c>
      <x:c r="F315" s="15" t="str">
        <x:v>GA</x:v>
      </x:c>
      <x:c r="G315" s="15" t="str">
        <x:v>Yes</x:v>
      </x:c>
      <x:c r="H315" s="15" t="str">
        <x:v>Closed with explanation</x:v>
      </x:c>
      <x:c r="I315" s="15" t="str">
        <x:v>Web</x:v>
      </x:c>
      <x:c r="J315" s="16" t="d">
        <x:v>2026-09-30T00:00:00.000Z</x:v>
      </x:c>
      <x:c r="K315" s="15" t="str">
        <x:v>Checking account</x:v>
      </x:c>
      <x:c r="L315" s="15" t="str">
        <x:v>Account opened without my consent or knowledge</x:v>
      </x:c>
      <x:c r="M315" s="15" t="str">
        <x:f>_xlfn.XLOOKUP(C315,'Lookups'!$A$7:$A$8,'Lookups'!$B$7:$B$8,"Unmapped",0)</x:f>
        <x:v>Deposit operations</x:v>
      </x:c>
      <x:c r="N315" s="14" t="n">
        <x:f>DATE(YEAR(B315),MONTH(B315),1)</x:f>
        <x:v>46266</x:v>
      </x:c>
    </x:row>
    <x:row r="316" ht="55" customHeight="1">
      <x:c r="A316" s="13" t="str">
        <x:v>28693429</x:v>
      </x:c>
      <x:c r="B316" s="14" t="d">
        <x:v>2026-09-30T00:00:00.000Z</x:v>
      </x:c>
      <x:c r="C316" s="15" t="str">
        <x:v>Credit card</x:v>
      </x:c>
      <x:c r="D316" s="15" t="str">
        <x:v>Problem with a purchase shown on your statement</x:v>
      </x:c>
      <x:c r="E316" s="15" t="str">
        <x:v>GOLDMAN SACHS BANK USA</x:v>
      </x:c>
      <x:c r="F316" s="15" t="str">
        <x:v>TX</x:v>
      </x:c>
      <x:c r="G316" s="15" t="str">
        <x:v>Yes</x:v>
      </x:c>
      <x:c r="H316" s="15" t="str">
        <x:v>Closed with explanation</x:v>
      </x:c>
      <x:c r="I316" s="15" t="str">
        <x:v>Web</x:v>
      </x:c>
      <x:c r="J316" s="16" t="d">
        <x:v>2026-09-30T00:00:00.000Z</x:v>
      </x:c>
      <x:c r="K316" s="15" t="str">
        <x:v>General-purpose credit card or charge card</x:v>
      </x:c>
      <x:c r="L316" s="15" t="str">
        <x:v>Credit card company isn't resolving a dispute about a purchase on your statement</x:v>
      </x:c>
      <x:c r="M316" s="15" t="str">
        <x:f>_xlfn.XLOOKUP(C316,'Lookups'!$A$7:$A$8,'Lookups'!$B$7:$B$8,"Unmapped",0)</x:f>
        <x:v>Card operations</x:v>
      </x:c>
      <x:c r="N316" s="14" t="n">
        <x:f>DATE(YEAR(B316),MONTH(B316),1)</x:f>
        <x:v>46266</x:v>
      </x:c>
    </x:row>
    <x:row r="317" ht="55" customHeight="1">
      <x:c r="A317" s="13" t="str">
        <x:v>28693446</x:v>
      </x:c>
      <x:c r="B317" s="14" t="d">
        <x:v>2026-09-30T00:00:00.000Z</x:v>
      </x:c>
      <x:c r="C317" s="15" t="str">
        <x:v>Checking or savings account</x:v>
      </x:c>
      <x:c r="D317" s="15" t="str">
        <x:v>Managing an account</x:v>
      </x:c>
      <x:c r="E317" s="15" t="str">
        <x:v>BANK OF AMERICA, NATIONAL ASSOCIATION</x:v>
      </x:c>
      <x:c r="F317" s="15" t="str">
        <x:v>NV</x:v>
      </x:c>
      <x:c r="G317" s="15" t="str">
        <x:v>Yes</x:v>
      </x:c>
      <x:c r="H317" s="15" t="str">
        <x:v>In progress</x:v>
      </x:c>
      <x:c r="I317" s="15" t="str">
        <x:v>Web</x:v>
      </x:c>
      <x:c r="J317" s="16" t="d">
        <x:v>2026-09-30T00:00:00.000Z</x:v>
      </x:c>
      <x:c r="K317" s="15" t="str">
        <x:v>Checking account</x:v>
      </x:c>
      <x:c r="L317" s="15" t="str">
        <x:v>Problem using a debit or ATM card</x:v>
      </x:c>
      <x:c r="M317" s="15" t="str">
        <x:f>_xlfn.XLOOKUP(C317,'Lookups'!$A$7:$A$8,'Lookups'!$B$7:$B$8,"Unmapped",0)</x:f>
        <x:v>Deposit operations</x:v>
      </x:c>
      <x:c r="N317" s="14" t="n">
        <x:f>DATE(YEAR(B317),MONTH(B317),1)</x:f>
        <x:v>46266</x:v>
      </x:c>
    </x:row>
    <x:row r="318" ht="55" customHeight="1">
      <x:c r="A318" s="13" t="str">
        <x:v>28693498</x:v>
      </x:c>
      <x:c r="B318" s="14" t="d">
        <x:v>2026-09-30T00:00:00.000Z</x:v>
      </x:c>
      <x:c r="C318" s="15" t="str">
        <x:v>Credit card</x:v>
      </x:c>
      <x:c r="D318" s="15" t="str">
        <x:v>Problem with a purchase shown on your statement</x:v>
      </x:c>
      <x:c r="E318" s="15" t="str">
        <x:v>WELLS FARGO &amp; COMPANY</x:v>
      </x:c>
      <x:c r="F318" s="15" t="str">
        <x:v>FL</x:v>
      </x:c>
      <x:c r="G318" s="15" t="str">
        <x:v>Yes</x:v>
      </x:c>
      <x:c r="H318" s="15" t="str">
        <x:v>Closed with explanation</x:v>
      </x:c>
      <x:c r="I318" s="15" t="str">
        <x:v>Web</x:v>
      </x:c>
      <x:c r="J318" s="16" t="d">
        <x:v>2026-09-30T00:00:00.000Z</x:v>
      </x:c>
      <x:c r="K318" s="15" t="str">
        <x:v>General-purpose credit card or charge card</x:v>
      </x:c>
      <x:c r="L318" s="15" t="str">
        <x:v>Credit card company isn't resolving a dispute about a purchase on your statement</x:v>
      </x:c>
      <x:c r="M318" s="15" t="str">
        <x:f>_xlfn.XLOOKUP(C318,'Lookups'!$A$7:$A$8,'Lookups'!$B$7:$B$8,"Unmapped",0)</x:f>
        <x:v>Card operations</x:v>
      </x:c>
      <x:c r="N318" s="14" t="n">
        <x:f>DATE(YEAR(B318),MONTH(B318),1)</x:f>
        <x:v>46266</x:v>
      </x:c>
    </x:row>
    <x:row r="319" ht="55" customHeight="1">
      <x:c r="A319" s="13" t="str">
        <x:v>28693502</x:v>
      </x:c>
      <x:c r="B319" s="14" t="d">
        <x:v>2026-09-30T00:00:00.000Z</x:v>
      </x:c>
      <x:c r="C319" s="15" t="str">
        <x:v>Credit card</x:v>
      </x:c>
      <x:c r="D319" s="15" t="str">
        <x:v>Problem with fraud alerts or security freezes</x:v>
      </x:c>
      <x:c r="E319" s="15" t="str">
        <x:v>TRANSUNION INTERMEDIATE HOLDINGS, INC.</x:v>
      </x:c>
      <x:c r="F319" s="15" t="str">
        <x:v>IN</x:v>
      </x:c>
      <x:c r="G319" s="15" t="str">
        <x:v>Yes</x:v>
      </x:c>
      <x:c r="H319" s="15" t="str">
        <x:v>In progress</x:v>
      </x:c>
      <x:c r="I319" s="15" t="str">
        <x:v>Web</x:v>
      </x:c>
      <x:c r="J319" s="16" t="d">
        <x:v>2026-09-30T00:00:00.000Z</x:v>
      </x:c>
      <x:c r="K319" s="15" t="str">
        <x:v>General-purpose credit card or charge card</x:v>
      </x:c>
      <x:c r="L319" s="15" t="str">
        <x:v>Unknown</x:v>
      </x:c>
      <x:c r="M319" s="15" t="str">
        <x:f>_xlfn.XLOOKUP(C319,'Lookups'!$A$7:$A$8,'Lookups'!$B$7:$B$8,"Unmapped",0)</x:f>
        <x:v>Card operations</x:v>
      </x:c>
      <x:c r="N319" s="14" t="n">
        <x:f>DATE(YEAR(B319),MONTH(B319),1)</x:f>
        <x:v>46266</x:v>
      </x:c>
    </x:row>
    <x:row r="320" ht="55" customHeight="1">
      <x:c r="A320" s="13" t="str">
        <x:v>28693692</x:v>
      </x:c>
      <x:c r="B320" s="14" t="d">
        <x:v>2026-09-30T00:00:00.000Z</x:v>
      </x:c>
      <x:c r="C320" s="15" t="str">
        <x:v>Credit card</x:v>
      </x:c>
      <x:c r="D320" s="15" t="str">
        <x:v>Fees or interest</x:v>
      </x:c>
      <x:c r="E320" s="15" t="str">
        <x:v>SYNCHRONY FINANCIAL</x:v>
      </x:c>
      <x:c r="F320" s="15" t="str">
        <x:v>AL</x:v>
      </x:c>
      <x:c r="G320" s="15" t="str">
        <x:v>Yes</x:v>
      </x:c>
      <x:c r="H320" s="15" t="str">
        <x:v>In progress</x:v>
      </x:c>
      <x:c r="I320" s="15" t="str">
        <x:v>Postal mail</x:v>
      </x:c>
      <x:c r="J320" s="16" t="d">
        <x:v>2026-09-30T00:00:00.000Z</x:v>
      </x:c>
      <x:c r="K320" s="15" t="str">
        <x:v>General-purpose credit card or charge card</x:v>
      </x:c>
      <x:c r="L320" s="15" t="str">
        <x:v>Problem with fees</x:v>
      </x:c>
      <x:c r="M320" s="15" t="str">
        <x:f>_xlfn.XLOOKUP(C320,'Lookups'!$A$7:$A$8,'Lookups'!$B$7:$B$8,"Unmapped",0)</x:f>
        <x:v>Card operations</x:v>
      </x:c>
      <x:c r="N320" s="14" t="n">
        <x:f>DATE(YEAR(B320),MONTH(B320),1)</x:f>
        <x:v>46266</x:v>
      </x:c>
    </x:row>
    <x:row r="321" ht="55" customHeight="1">
      <x:c r="A321" s="13" t="str">
        <x:v>28693755</x:v>
      </x:c>
      <x:c r="B321" s="14" t="d">
        <x:v>2026-09-30T00:00:00.000Z</x:v>
      </x:c>
      <x:c r="C321" s="15" t="str">
        <x:v>Checking or savings account</x:v>
      </x:c>
      <x:c r="D321" s="15" t="str">
        <x:v>Managing an account</x:v>
      </x:c>
      <x:c r="E321" s="15" t="str">
        <x:v>MoneyLion Inc.</x:v>
      </x:c>
      <x:c r="F321" s="15" t="str">
        <x:v>GA</x:v>
      </x:c>
      <x:c r="G321" s="15" t="str">
        <x:v>Yes</x:v>
      </x:c>
      <x:c r="H321" s="15" t="str">
        <x:v>Closed with explanation</x:v>
      </x:c>
      <x:c r="I321" s="15" t="str">
        <x:v>Web</x:v>
      </x:c>
      <x:c r="J321" s="16" t="d">
        <x:v>2026-09-30T00:00:00.000Z</x:v>
      </x:c>
      <x:c r="K321" s="15" t="str">
        <x:v>Other banking product or service</x:v>
      </x:c>
      <x:c r="L321" s="15" t="str">
        <x:v>Deposits and withdrawals</x:v>
      </x:c>
      <x:c r="M321" s="15" t="str">
        <x:f>_xlfn.XLOOKUP(C321,'Lookups'!$A$7:$A$8,'Lookups'!$B$7:$B$8,"Unmapped",0)</x:f>
        <x:v>Deposit operations</x:v>
      </x:c>
      <x:c r="N321" s="14" t="n">
        <x:f>DATE(YEAR(B321),MONTH(B321),1)</x:f>
        <x:v>46266</x:v>
      </x:c>
    </x:row>
    <x:row r="322" ht="55" customHeight="1">
      <x:c r="A322" s="13" t="str">
        <x:v>28693825</x:v>
      </x:c>
      <x:c r="B322" s="14" t="d">
        <x:v>2026-09-30T00:00:00.000Z</x:v>
      </x:c>
      <x:c r="C322" s="15" t="str">
        <x:v>Credit card</x:v>
      </x:c>
      <x:c r="D322" s="15" t="str">
        <x:v>Problem with a purchase shown on your statement</x:v>
      </x:c>
      <x:c r="E322" s="15" t="str">
        <x:v>WELLS FARGO &amp; COMPANY</x:v>
      </x:c>
      <x:c r="F322" s="15" t="str">
        <x:v>GA</x:v>
      </x:c>
      <x:c r="G322" s="15" t="str">
        <x:v>Yes</x:v>
      </x:c>
      <x:c r="H322" s="15" t="str">
        <x:v>In progress</x:v>
      </x:c>
      <x:c r="I322" s="15" t="str">
        <x:v>Web</x:v>
      </x:c>
      <x:c r="J322" s="16" t="d">
        <x:v>2026-09-30T00:00:00.000Z</x:v>
      </x:c>
      <x:c r="K322" s="15" t="str">
        <x:v>General-purpose credit card or charge card</x:v>
      </x:c>
      <x:c r="L322" s="15" t="str">
        <x:v>Credit card company isn't resolving a dispute about a purchase on your statement</x:v>
      </x:c>
      <x:c r="M322" s="15" t="str">
        <x:f>_xlfn.XLOOKUP(C322,'Lookups'!$A$7:$A$8,'Lookups'!$B$7:$B$8,"Unmapped",0)</x:f>
        <x:v>Card operations</x:v>
      </x:c>
      <x:c r="N322" s="14" t="n">
        <x:f>DATE(YEAR(B322),MONTH(B322),1)</x:f>
        <x:v>46266</x:v>
      </x:c>
    </x:row>
    <x:row r="323" ht="55" customHeight="1">
      <x:c r="A323" s="13" t="str">
        <x:v>28693828</x:v>
      </x:c>
      <x:c r="B323" s="14" t="d">
        <x:v>2026-09-30T00:00:00.000Z</x:v>
      </x:c>
      <x:c r="C323" s="15" t="str">
        <x:v>Credit card</x:v>
      </x:c>
      <x:c r="D323" s="15" t="str">
        <x:v>Problem with a purchase shown on your statement</x:v>
      </x:c>
      <x:c r="E323" s="15" t="str">
        <x:v>CAPITAL ONE FINANCIAL CORPORATION</x:v>
      </x:c>
      <x:c r="F323" s="15" t="str">
        <x:v>TX</x:v>
      </x:c>
      <x:c r="G323" s="15" t="str">
        <x:v>Yes</x:v>
      </x:c>
      <x:c r="H323" s="15" t="str">
        <x:v>Closed with explanation</x:v>
      </x:c>
      <x:c r="I323" s="15" t="str">
        <x:v>Web</x:v>
      </x:c>
      <x:c r="J323" s="16" t="d">
        <x:v>2026-09-30T00:00:00.000Z</x:v>
      </x:c>
      <x:c r="K323" s="15" t="str">
        <x:v>General-purpose credit card or charge card</x:v>
      </x:c>
      <x:c r="L323" s="15" t="str">
        <x:v>Credit card company isn't resolving a dispute about a purchase on your statement</x:v>
      </x:c>
      <x:c r="M323" s="15" t="str">
        <x:f>_xlfn.XLOOKUP(C323,'Lookups'!$A$7:$A$8,'Lookups'!$B$7:$B$8,"Unmapped",0)</x:f>
        <x:v>Card operations</x:v>
      </x:c>
      <x:c r="N323" s="14" t="n">
        <x:f>DATE(YEAR(B323),MONTH(B323),1)</x:f>
        <x:v>46266</x:v>
      </x:c>
    </x:row>
    <x:row r="324" ht="55" customHeight="1">
      <x:c r="A324" s="13" t="str">
        <x:v>28693898</x:v>
      </x:c>
      <x:c r="B324" s="14" t="d">
        <x:v>2026-09-30T00:00:00.000Z</x:v>
      </x:c>
      <x:c r="C324" s="15" t="str">
        <x:v>Credit card</x:v>
      </x:c>
      <x:c r="D324" s="15" t="str">
        <x:v>Advertising and marketing, including promotional offers</x:v>
      </x:c>
      <x:c r="E324" s="15" t="str">
        <x:v>BARCLAYS BANK DELAWARE</x:v>
      </x:c>
      <x:c r="F324" s="15" t="str">
        <x:v>NY</x:v>
      </x:c>
      <x:c r="G324" s="15" t="str">
        <x:v>Yes</x:v>
      </x:c>
      <x:c r="H324" s="15" t="str">
        <x:v>In progress</x:v>
      </x:c>
      <x:c r="I324" s="15" t="str">
        <x:v>Web</x:v>
      </x:c>
      <x:c r="J324" s="16" t="d">
        <x:v>2026-09-30T00:00:00.000Z</x:v>
      </x:c>
      <x:c r="K324" s="15" t="str">
        <x:v>General-purpose credit card or charge card</x:v>
      </x:c>
      <x:c r="L324" s="15" t="str">
        <x:v>Didn't receive advertised or promotional terms</x:v>
      </x:c>
      <x:c r="M324" s="15" t="str">
        <x:f>_xlfn.XLOOKUP(C324,'Lookups'!$A$7:$A$8,'Lookups'!$B$7:$B$8,"Unmapped",0)</x:f>
        <x:v>Card operations</x:v>
      </x:c>
      <x:c r="N324" s="14" t="n">
        <x:f>DATE(YEAR(B324),MONTH(B324),1)</x:f>
        <x:v>46266</x:v>
      </x:c>
    </x:row>
    <x:row r="325" ht="55" customHeight="1">
      <x:c r="A325" s="13" t="str">
        <x:v>28694073</x:v>
      </x:c>
      <x:c r="B325" s="14" t="d">
        <x:v>2026-09-30T00:00:00.000Z</x:v>
      </x:c>
      <x:c r="C325" s="15" t="str">
        <x:v>Checking or savings account</x:v>
      </x:c>
      <x:c r="D325" s="15" t="str">
        <x:v>Closing an account</x:v>
      </x:c>
      <x:c r="E325" s="15" t="str">
        <x:v>U.S. BANCORP</x:v>
      </x:c>
      <x:c r="F325" s="15" t="str">
        <x:v>IN</x:v>
      </x:c>
      <x:c r="G325" s="15" t="str">
        <x:v>Yes</x:v>
      </x:c>
      <x:c r="H325" s="15" t="str">
        <x:v>Closed with explanation</x:v>
      </x:c>
      <x:c r="I325" s="15" t="str">
        <x:v>Web</x:v>
      </x:c>
      <x:c r="J325" s="16" t="d">
        <x:v>2026-09-30T00:00:00.000Z</x:v>
      </x:c>
      <x:c r="K325" s="15" t="str">
        <x:v>Checking account</x:v>
      </x:c>
      <x:c r="L325" s="15" t="str">
        <x:v>Company closed your account</x:v>
      </x:c>
      <x:c r="M325" s="15" t="str">
        <x:f>_xlfn.XLOOKUP(C325,'Lookups'!$A$7:$A$8,'Lookups'!$B$7:$B$8,"Unmapped",0)</x:f>
        <x:v>Deposit operations</x:v>
      </x:c>
      <x:c r="N325" s="14" t="n">
        <x:f>DATE(YEAR(B325),MONTH(B325),1)</x:f>
        <x:v>46266</x:v>
      </x:c>
    </x:row>
    <x:row r="326" ht="55" customHeight="1">
      <x:c r="A326" s="13" t="str">
        <x:v>28694085</x:v>
      </x:c>
      <x:c r="B326" s="14" t="d">
        <x:v>2026-09-30T00:00:00.000Z</x:v>
      </x:c>
      <x:c r="C326" s="15" t="str">
        <x:v>Checking or savings account</x:v>
      </x:c>
      <x:c r="D326" s="15" t="str">
        <x:v>Opening an account</x:v>
      </x:c>
      <x:c r="E326" s="15" t="str">
        <x:v>Fidelity National Information Services, Inc. (FNIS)</x:v>
      </x:c>
      <x:c r="F326" s="15" t="str">
        <x:v>GA</x:v>
      </x:c>
      <x:c r="G326" s="15" t="str">
        <x:v>Yes</x:v>
      </x:c>
      <x:c r="H326" s="15" t="str">
        <x:v>Closed with explanation</x:v>
      </x:c>
      <x:c r="I326" s="15" t="str">
        <x:v>Web</x:v>
      </x:c>
      <x:c r="J326" s="16" t="d">
        <x:v>2026-09-30T00:00:00.000Z</x:v>
      </x:c>
      <x:c r="K326" s="15" t="str">
        <x:v>Checking account</x:v>
      </x:c>
      <x:c r="L326" s="15" t="str">
        <x:v>Account opened without my consent or knowledge</x:v>
      </x:c>
      <x:c r="M326" s="15" t="str">
        <x:f>_xlfn.XLOOKUP(C326,'Lookups'!$A$7:$A$8,'Lookups'!$B$7:$B$8,"Unmapped",0)</x:f>
        <x:v>Deposit operations</x:v>
      </x:c>
      <x:c r="N326" s="14" t="n">
        <x:f>DATE(YEAR(B326),MONTH(B326),1)</x:f>
        <x:v>46266</x:v>
      </x:c>
    </x:row>
    <x:row r="327" ht="55" customHeight="1">
      <x:c r="A327" s="13" t="str">
        <x:v>28694448</x:v>
      </x:c>
      <x:c r="B327" s="14" t="d">
        <x:v>2026-09-30T00:00:00.000Z</x:v>
      </x:c>
      <x:c r="C327" s="15" t="str">
        <x:v>Credit card</x:v>
      </x:c>
      <x:c r="D327" s="15" t="str">
        <x:v>Problem with a purchase shown on your statement</x:v>
      </x:c>
      <x:c r="E327" s="15" t="str">
        <x:v>BANK OF AMERICA, NATIONAL ASSOCIATION</x:v>
      </x:c>
      <x:c r="F327" s="15" t="str">
        <x:v>NM</x:v>
      </x:c>
      <x:c r="G327" s="15" t="str">
        <x:v>Yes</x:v>
      </x:c>
      <x:c r="H327" s="15" t="str">
        <x:v>In progress</x:v>
      </x:c>
      <x:c r="I327" s="15" t="str">
        <x:v>Web</x:v>
      </x:c>
      <x:c r="J327" s="16" t="d">
        <x:v>2026-09-30T00:00:00.000Z</x:v>
      </x:c>
      <x:c r="K327" s="15" t="str">
        <x:v>General-purpose credit card or charge card</x:v>
      </x:c>
      <x:c r="L327" s="15" t="str">
        <x:v>Credit card company isn't resolving a dispute about a purchase on your statement</x:v>
      </x:c>
      <x:c r="M327" s="15" t="str">
        <x:f>_xlfn.XLOOKUP(C327,'Lookups'!$A$7:$A$8,'Lookups'!$B$7:$B$8,"Unmapped",0)</x:f>
        <x:v>Card operations</x:v>
      </x:c>
      <x:c r="N327" s="14" t="n">
        <x:f>DATE(YEAR(B327),MONTH(B327),1)</x:f>
        <x:v>46266</x:v>
      </x:c>
    </x:row>
    <x:row r="328" ht="55" customHeight="1">
      <x:c r="A328" s="13" t="str">
        <x:v>28694922</x:v>
      </x:c>
      <x:c r="B328" s="14" t="d">
        <x:v>2026-09-30T00:00:00.000Z</x:v>
      </x:c>
      <x:c r="C328" s="15" t="str">
        <x:v>Credit card</x:v>
      </x:c>
      <x:c r="D328" s="15" t="str">
        <x:v>Struggling to pay your bill</x:v>
      </x:c>
      <x:c r="E328" s="15" t="str">
        <x:v>GOLDMAN SACHS BANK USA</x:v>
      </x:c>
      <x:c r="F328" s="15" t="str">
        <x:v>CA</x:v>
      </x:c>
      <x:c r="G328" s="15" t="str">
        <x:v>Yes</x:v>
      </x:c>
      <x:c r="H328" s="15" t="str">
        <x:v>Closed with explanation</x:v>
      </x:c>
      <x:c r="I328" s="15" t="str">
        <x:v>Web</x:v>
      </x:c>
      <x:c r="J328" s="16" t="d">
        <x:v>2026-09-30T00:00:00.000Z</x:v>
      </x:c>
      <x:c r="K328" s="15" t="str">
        <x:v>General-purpose credit card or charge card</x:v>
      </x:c>
      <x:c r="L328" s="15" t="str">
        <x:v>Credit card company won't work with you while you're going through financial hardship</x:v>
      </x:c>
      <x:c r="M328" s="15" t="str">
        <x:f>_xlfn.XLOOKUP(C328,'Lookups'!$A$7:$A$8,'Lookups'!$B$7:$B$8,"Unmapped",0)</x:f>
        <x:v>Card operations</x:v>
      </x:c>
      <x:c r="N328" s="14" t="n">
        <x:f>DATE(YEAR(B328),MONTH(B328),1)</x:f>
        <x:v>46266</x:v>
      </x:c>
    </x:row>
    <x:row r="329" ht="55" customHeight="1">
      <x:c r="A329" s="13" t="str">
        <x:v>28695229</x:v>
      </x:c>
      <x:c r="B329" s="14" t="d">
        <x:v>2026-09-30T00:00:00.000Z</x:v>
      </x:c>
      <x:c r="C329" s="15" t="str">
        <x:v>Checking or savings account</x:v>
      </x:c>
      <x:c r="D329" s="15" t="str">
        <x:v>Problem caused by your funds being low</x:v>
      </x:c>
      <x:c r="E329" s="15" t="str">
        <x:v>CITIZENS FINANCIAL GROUP, INC.</x:v>
      </x:c>
      <x:c r="F329" s="15" t="str">
        <x:v>MA</x:v>
      </x:c>
      <x:c r="G329" s="15" t="str">
        <x:v>Yes</x:v>
      </x:c>
      <x:c r="H329" s="15" t="str">
        <x:v>Closed with explanation</x:v>
      </x:c>
      <x:c r="I329" s="15" t="str">
        <x:v>Web</x:v>
      </x:c>
      <x:c r="J329" s="16" t="d">
        <x:v>2026-09-30T00:00:00.000Z</x:v>
      </x:c>
      <x:c r="K329" s="15" t="str">
        <x:v>Checking account</x:v>
      </x:c>
      <x:c r="L329" s="15" t="str">
        <x:v>Non-sufficient funds and associated fees</x:v>
      </x:c>
      <x:c r="M329" s="15" t="str">
        <x:f>_xlfn.XLOOKUP(C329,'Lookups'!$A$7:$A$8,'Lookups'!$B$7:$B$8,"Unmapped",0)</x:f>
        <x:v>Deposit operations</x:v>
      </x:c>
      <x:c r="N329" s="14" t="n">
        <x:f>DATE(YEAR(B329),MONTH(B329),1)</x:f>
        <x:v>46266</x:v>
      </x:c>
    </x:row>
    <x:row r="330" ht="55" customHeight="1">
      <x:c r="A330" s="13" t="str">
        <x:v>28695418</x:v>
      </x:c>
      <x:c r="B330" s="14" t="d">
        <x:v>2026-09-30T00:00:00.000Z</x:v>
      </x:c>
      <x:c r="C330" s="15" t="str">
        <x:v>Checking or savings account</x:v>
      </x:c>
      <x:c r="D330" s="15" t="str">
        <x:v>Managing an account</x:v>
      </x:c>
      <x:c r="E330" s="15" t="str">
        <x:v>PNC Bank N.A.</x:v>
      </x:c>
      <x:c r="F330" s="15" t="str">
        <x:v>GA</x:v>
      </x:c>
      <x:c r="G330" s="15" t="str">
        <x:v>Yes</x:v>
      </x:c>
      <x:c r="H330" s="15" t="str">
        <x:v>In progress</x:v>
      </x:c>
      <x:c r="I330" s="15" t="str">
        <x:v>Web</x:v>
      </x:c>
      <x:c r="J330" s="16" t="d">
        <x:v>2026-09-30T00:00:00.000Z</x:v>
      </x:c>
      <x:c r="K330" s="15" t="str">
        <x:v>Checking account</x:v>
      </x:c>
      <x:c r="L330" s="15" t="str">
        <x:v>Problem making or receiving payments</x:v>
      </x:c>
      <x:c r="M330" s="15" t="str">
        <x:f>_xlfn.XLOOKUP(C330,'Lookups'!$A$7:$A$8,'Lookups'!$B$7:$B$8,"Unmapped",0)</x:f>
        <x:v>Deposit operations</x:v>
      </x:c>
      <x:c r="N330" s="14" t="n">
        <x:f>DATE(YEAR(B330),MONTH(B330),1)</x:f>
        <x:v>46266</x:v>
      </x:c>
    </x:row>
    <x:row r="331" ht="55" customHeight="1">
      <x:c r="A331" s="13" t="str">
        <x:v>28695419</x:v>
      </x:c>
      <x:c r="B331" s="14" t="d">
        <x:v>2026-09-30T00:00:00.000Z</x:v>
      </x:c>
      <x:c r="C331" s="15" t="str">
        <x:v>Credit card</x:v>
      </x:c>
      <x:c r="D331" s="15" t="str">
        <x:v>Incorrect information on your report</x:v>
      </x:c>
      <x:c r="E331" s="15" t="str">
        <x:v>FIRST PORTFOLIO SERVICING INC</x:v>
      </x:c>
      <x:c r="F331" s="15" t="str">
        <x:v>TX</x:v>
      </x:c>
      <x:c r="G331" s="15" t="str">
        <x:v>Yes</x:v>
      </x:c>
      <x:c r="H331" s="15" t="str">
        <x:v>Closed with explanation</x:v>
      </x:c>
      <x:c r="I331" s="15" t="str">
        <x:v>Web</x:v>
      </x:c>
      <x:c r="J331" s="16" t="d">
        <x:v>2026-09-30T00:00:00.000Z</x:v>
      </x:c>
      <x:c r="K331" s="15" t="str">
        <x:v>General-purpose credit card or charge card</x:v>
      </x:c>
      <x:c r="L331" s="15" t="str">
        <x:v>Account status incorrect</x:v>
      </x:c>
      <x:c r="M331" s="15" t="str">
        <x:f>_xlfn.XLOOKUP(C331,'Lookups'!$A$7:$A$8,'Lookups'!$B$7:$B$8,"Unmapped",0)</x:f>
        <x:v>Card operations</x:v>
      </x:c>
      <x:c r="N331" s="14" t="n">
        <x:f>DATE(YEAR(B331),MONTH(B331),1)</x:f>
        <x:v>46266</x:v>
      </x:c>
    </x:row>
    <x:row r="332" ht="55" customHeight="1">
      <x:c r="A332" s="13" t="str">
        <x:v>28695469</x:v>
      </x:c>
      <x:c r="B332" s="14" t="d">
        <x:v>2026-09-30T00:00:00.000Z</x:v>
      </x:c>
      <x:c r="C332" s="15" t="str">
        <x:v>Checking or savings account</x:v>
      </x:c>
      <x:c r="D332" s="15" t="str">
        <x:v>Managing an account</x:v>
      </x:c>
      <x:c r="E332" s="15" t="str">
        <x:v>WEBSTER BANK, NATIONAL ASSOCIATION</x:v>
      </x:c>
      <x:c r="F332" s="15" t="str">
        <x:v>NY</x:v>
      </x:c>
      <x:c r="G332" s="15" t="str">
        <x:v>Yes</x:v>
      </x:c>
      <x:c r="H332" s="15" t="str">
        <x:v>Closed with explanation</x:v>
      </x:c>
      <x:c r="I332" s="15" t="str">
        <x:v>Phone</x:v>
      </x:c>
      <x:c r="J332" s="16" t="d">
        <x:v>2026-09-30T00:00:00.000Z</x:v>
      </x:c>
      <x:c r="K332" s="15" t="str">
        <x:v>Checking account</x:v>
      </x:c>
      <x:c r="L332" s="15" t="str">
        <x:v>Deposits and withdrawals</x:v>
      </x:c>
      <x:c r="M332" s="15" t="str">
        <x:f>_xlfn.XLOOKUP(C332,'Lookups'!$A$7:$A$8,'Lookups'!$B$7:$B$8,"Unmapped",0)</x:f>
        <x:v>Deposit operations</x:v>
      </x:c>
      <x:c r="N332" s="14" t="n">
        <x:f>DATE(YEAR(B332),MONTH(B332),1)</x:f>
        <x:v>46266</x:v>
      </x:c>
    </x:row>
    <x:row r="333" ht="55" customHeight="1">
      <x:c r="A333" s="13" t="str">
        <x:v>28695548</x:v>
      </x:c>
      <x:c r="B333" s="14" t="d">
        <x:v>2026-09-30T00:00:00.000Z</x:v>
      </x:c>
      <x:c r="C333" s="15" t="str">
        <x:v>Checking or savings account</x:v>
      </x:c>
      <x:c r="D333" s="15" t="str">
        <x:v>Managing an account</x:v>
      </x:c>
      <x:c r="E333" s="15" t="str">
        <x:v>JPMORGAN CHASE &amp; CO.</x:v>
      </x:c>
      <x:c r="F333" s="15" t="str">
        <x:v>IL</x:v>
      </x:c>
      <x:c r="G333" s="15" t="str">
        <x:v>Yes</x:v>
      </x:c>
      <x:c r="H333" s="15" t="str">
        <x:v>Closed with monetary relief</x:v>
      </x:c>
      <x:c r="I333" s="15" t="str">
        <x:v>Web</x:v>
      </x:c>
      <x:c r="J333" s="16" t="d">
        <x:v>2026-09-30T00:00:00.000Z</x:v>
      </x:c>
      <x:c r="K333" s="15" t="str">
        <x:v>Checking account</x:v>
      </x:c>
      <x:c r="L333" s="15" t="str">
        <x:v>Cashing a check</x:v>
      </x:c>
      <x:c r="M333" s="15" t="str">
        <x:f>_xlfn.XLOOKUP(C333,'Lookups'!$A$7:$A$8,'Lookups'!$B$7:$B$8,"Unmapped",0)</x:f>
        <x:v>Deposit operations</x:v>
      </x:c>
      <x:c r="N333" s="14" t="n">
        <x:f>DATE(YEAR(B333),MONTH(B333),1)</x:f>
        <x:v>46266</x:v>
      </x:c>
    </x:row>
    <x:row r="334" ht="55" customHeight="1">
      <x:c r="A334" s="13" t="str">
        <x:v>28695566</x:v>
      </x:c>
      <x:c r="B334" s="14" t="d">
        <x:v>2026-09-30T00:00:00.000Z</x:v>
      </x:c>
      <x:c r="C334" s="15" t="str">
        <x:v>Credit card</x:v>
      </x:c>
      <x:c r="D334" s="15" t="str">
        <x:v>Problem with a purchase shown on your statement</x:v>
      </x:c>
      <x:c r="E334" s="15" t="str">
        <x:v>AMERICAN EXPRESS COMPANY</x:v>
      </x:c>
      <x:c r="F334" s="15" t="str">
        <x:v>VA</x:v>
      </x:c>
      <x:c r="G334" s="15" t="str">
        <x:v>Yes</x:v>
      </x:c>
      <x:c r="H334" s="15" t="str">
        <x:v>Closed with explanation</x:v>
      </x:c>
      <x:c r="I334" s="15" t="str">
        <x:v>Web</x:v>
      </x:c>
      <x:c r="J334" s="16" t="d">
        <x:v>2026-09-30T00:00:00.000Z</x:v>
      </x:c>
      <x:c r="K334" s="15" t="str">
        <x:v>General-purpose credit card or charge card</x:v>
      </x:c>
      <x:c r="L334" s="15" t="str">
        <x:v>Credit card company isn't resolving a dispute about a purchase on your statement</x:v>
      </x:c>
      <x:c r="M334" s="15" t="str">
        <x:f>_xlfn.XLOOKUP(C334,'Lookups'!$A$7:$A$8,'Lookups'!$B$7:$B$8,"Unmapped",0)</x:f>
        <x:v>Card operations</x:v>
      </x:c>
      <x:c r="N334" s="14" t="n">
        <x:f>DATE(YEAR(B334),MONTH(B334),1)</x:f>
        <x:v>46266</x:v>
      </x:c>
    </x:row>
    <x:row r="335" ht="55" customHeight="1">
      <x:c r="A335" s="13" t="str">
        <x:v>28695569</x:v>
      </x:c>
      <x:c r="B335" s="14" t="d">
        <x:v>2026-09-30T00:00:00.000Z</x:v>
      </x:c>
      <x:c r="C335" s="15" t="str">
        <x:v>Credit card</x:v>
      </x:c>
      <x:c r="D335" s="15" t="str">
        <x:v>Other features, terms, or problems</x:v>
      </x:c>
      <x:c r="E335" s="15" t="str">
        <x:v>SYNCHRONY FINANCIAL</x:v>
      </x:c>
      <x:c r="F335" s="15" t="str">
        <x:v>GA</x:v>
      </x:c>
      <x:c r="G335" s="15" t="str">
        <x:v>Yes</x:v>
      </x:c>
      <x:c r="H335" s="15" t="str">
        <x:v>In progress</x:v>
      </x:c>
      <x:c r="I335" s="15" t="str">
        <x:v>Web</x:v>
      </x:c>
      <x:c r="J335" s="16" t="d">
        <x:v>2026-09-30T00:00:00.000Z</x:v>
      </x:c>
      <x:c r="K335" s="15" t="str">
        <x:v>Store credit card</x:v>
      </x:c>
      <x:c r="L335" s="15" t="str">
        <x:v>Other problem</x:v>
      </x:c>
      <x:c r="M335" s="15" t="str">
        <x:f>_xlfn.XLOOKUP(C335,'Lookups'!$A$7:$A$8,'Lookups'!$B$7:$B$8,"Unmapped",0)</x:f>
        <x:v>Card operations</x:v>
      </x:c>
      <x:c r="N335" s="14" t="n">
        <x:f>DATE(YEAR(B335),MONTH(B335),1)</x:f>
        <x:v>46266</x:v>
      </x:c>
    </x:row>
    <x:row r="336" ht="55" customHeight="1">
      <x:c r="A336" s="13" t="str">
        <x:v>28695590</x:v>
      </x:c>
      <x:c r="B336" s="14" t="d">
        <x:v>2026-09-30T00:00:00.000Z</x:v>
      </x:c>
      <x:c r="C336" s="15" t="str">
        <x:v>Checking or savings account</x:v>
      </x:c>
      <x:c r="D336" s="15" t="str">
        <x:v>Managing an account</x:v>
      </x:c>
      <x:c r="E336" s="15" t="str">
        <x:v>JPMORGAN CHASE &amp; CO.</x:v>
      </x:c>
      <x:c r="F336" s="15" t="str">
        <x:v>CA</x:v>
      </x:c>
      <x:c r="G336" s="15" t="str">
        <x:v>Yes</x:v>
      </x:c>
      <x:c r="H336" s="15" t="str">
        <x:v>Closed with explanation</x:v>
      </x:c>
      <x:c r="I336" s="15" t="str">
        <x:v>Web</x:v>
      </x:c>
      <x:c r="J336" s="16" t="d">
        <x:v>2026-09-30T00:00:00.000Z</x:v>
      </x:c>
      <x:c r="K336" s="15" t="str">
        <x:v>Checking account</x:v>
      </x:c>
      <x:c r="L336" s="15" t="str">
        <x:v>Problem making or receiving payments</x:v>
      </x:c>
      <x:c r="M336" s="15" t="str">
        <x:f>_xlfn.XLOOKUP(C336,'Lookups'!$A$7:$A$8,'Lookups'!$B$7:$B$8,"Unmapped",0)</x:f>
        <x:v>Deposit operations</x:v>
      </x:c>
      <x:c r="N336" s="14" t="n">
        <x:f>DATE(YEAR(B336),MONTH(B336),1)</x:f>
        <x:v>46266</x:v>
      </x:c>
    </x:row>
    <x:row r="337" ht="55" customHeight="1">
      <x:c r="A337" s="13" t="str">
        <x:v>28695625</x:v>
      </x:c>
      <x:c r="B337" s="14" t="d">
        <x:v>2026-09-30T00:00:00.000Z</x:v>
      </x:c>
      <x:c r="C337" s="15" t="str">
        <x:v>Credit card</x:v>
      </x:c>
      <x:c r="D337" s="15" t="str">
        <x:v>Problem with a purchase shown on your statement</x:v>
      </x:c>
      <x:c r="E337" s="15" t="str">
        <x:v>GOLDMAN SACHS BANK USA</x:v>
      </x:c>
      <x:c r="F337" s="15" t="str">
        <x:v>IL</x:v>
      </x:c>
      <x:c r="G337" s="15" t="str">
        <x:v>Yes</x:v>
      </x:c>
      <x:c r="H337" s="15" t="str">
        <x:v>Closed with explanation</x:v>
      </x:c>
      <x:c r="I337" s="15" t="str">
        <x:v>Web</x:v>
      </x:c>
      <x:c r="J337" s="16" t="d">
        <x:v>2026-09-30T00:00:00.000Z</x:v>
      </x:c>
      <x:c r="K337" s="15" t="str">
        <x:v>General-purpose credit card or charge card</x:v>
      </x:c>
      <x:c r="L337" s="15" t="str">
        <x:v>Overcharged for something you did purchase with the card</x:v>
      </x:c>
      <x:c r="M337" s="15" t="str">
        <x:f>_xlfn.XLOOKUP(C337,'Lookups'!$A$7:$A$8,'Lookups'!$B$7:$B$8,"Unmapped",0)</x:f>
        <x:v>Card operations</x:v>
      </x:c>
      <x:c r="N337" s="14" t="n">
        <x:f>DATE(YEAR(B337),MONTH(B337),1)</x:f>
        <x:v>46266</x:v>
      </x:c>
    </x:row>
    <x:row r="338" ht="55" customHeight="1">
      <x:c r="A338" s="13" t="str">
        <x:v>28695779</x:v>
      </x:c>
      <x:c r="B338" s="14" t="d">
        <x:v>2026-09-30T00:00:00.000Z</x:v>
      </x:c>
      <x:c r="C338" s="15" t="str">
        <x:v>Credit card</x:v>
      </x:c>
      <x:c r="D338" s="15" t="str">
        <x:v>Struggling to pay your bill</x:v>
      </x:c>
      <x:c r="E338" s="15" t="str">
        <x:v>CAPITAL ONE FINANCIAL CORPORATION</x:v>
      </x:c>
      <x:c r="F338" s="15" t="str">
        <x:v>TX</x:v>
      </x:c>
      <x:c r="G338" s="15" t="str">
        <x:v>Yes</x:v>
      </x:c>
      <x:c r="H338" s="15" t="str">
        <x:v>Closed with explanation</x:v>
      </x:c>
      <x:c r="I338" s="15" t="str">
        <x:v>Web</x:v>
      </x:c>
      <x:c r="J338" s="16" t="d">
        <x:v>2026-09-30T00:00:00.000Z</x:v>
      </x:c>
      <x:c r="K338" s="15" t="str">
        <x:v>General-purpose credit card or charge card</x:v>
      </x:c>
      <x:c r="L338" s="15" t="str">
        <x:v>Credit card company won't work with you while you're going through financial hardship</x:v>
      </x:c>
      <x:c r="M338" s="15" t="str">
        <x:f>_xlfn.XLOOKUP(C338,'Lookups'!$A$7:$A$8,'Lookups'!$B$7:$B$8,"Unmapped",0)</x:f>
        <x:v>Card operations</x:v>
      </x:c>
      <x:c r="N338" s="14" t="n">
        <x:f>DATE(YEAR(B338),MONTH(B338),1)</x:f>
        <x:v>46266</x:v>
      </x:c>
    </x:row>
    <x:row r="339" ht="55" customHeight="1">
      <x:c r="A339" s="13" t="str">
        <x:v>28695833</x:v>
      </x:c>
      <x:c r="B339" s="14" t="d">
        <x:v>2026-09-30T00:00:00.000Z</x:v>
      </x:c>
      <x:c r="C339" s="15" t="str">
        <x:v>Credit card</x:v>
      </x:c>
      <x:c r="D339" s="15" t="str">
        <x:v>Problem with a purchase shown on your statement</x:v>
      </x:c>
      <x:c r="E339" s="15" t="str">
        <x:v>AMERICAN EXPRESS COMPANY</x:v>
      </x:c>
      <x:c r="F339" s="15" t="str">
        <x:v>MO</x:v>
      </x:c>
      <x:c r="G339" s="15" t="str">
        <x:v>Yes</x:v>
      </x:c>
      <x:c r="H339" s="15" t="str">
        <x:v>In progress</x:v>
      </x:c>
      <x:c r="I339" s="15" t="str">
        <x:v>Web</x:v>
      </x:c>
      <x:c r="J339" s="16" t="d">
        <x:v>2026-09-30T00:00:00.000Z</x:v>
      </x:c>
      <x:c r="K339" s="15" t="str">
        <x:v>General-purpose credit card or charge card</x:v>
      </x:c>
      <x:c r="L339" s="15" t="str">
        <x:v>Credit card company isn't resolving a dispute about a purchase on your statement</x:v>
      </x:c>
      <x:c r="M339" s="15" t="str">
        <x:f>_xlfn.XLOOKUP(C339,'Lookups'!$A$7:$A$8,'Lookups'!$B$7:$B$8,"Unmapped",0)</x:f>
        <x:v>Card operations</x:v>
      </x:c>
      <x:c r="N339" s="14" t="n">
        <x:f>DATE(YEAR(B339),MONTH(B339),1)</x:f>
        <x:v>46266</x:v>
      </x:c>
    </x:row>
    <x:row r="340" ht="55" customHeight="1">
      <x:c r="A340" s="13" t="str">
        <x:v>28695941</x:v>
      </x:c>
      <x:c r="B340" s="14" t="d">
        <x:v>2026-09-30T00:00:00.000Z</x:v>
      </x:c>
      <x:c r="C340" s="15" t="str">
        <x:v>Credit card</x:v>
      </x:c>
      <x:c r="D340" s="15" t="str">
        <x:v>Problem with a purchase shown on your statement</x:v>
      </x:c>
      <x:c r="E340" s="15" t="str">
        <x:v>GOLDMAN SACHS BANK USA</x:v>
      </x:c>
      <x:c r="F340" s="15" t="str">
        <x:v>CT</x:v>
      </x:c>
      <x:c r="G340" s="15" t="str">
        <x:v>Yes</x:v>
      </x:c>
      <x:c r="H340" s="15" t="str">
        <x:v>Closed with monetary relief</x:v>
      </x:c>
      <x:c r="I340" s="15" t="str">
        <x:v>Web</x:v>
      </x:c>
      <x:c r="J340" s="16" t="d">
        <x:v>2026-09-30T00:00:00.000Z</x:v>
      </x:c>
      <x:c r="K340" s="15" t="str">
        <x:v>General-purpose credit card or charge card</x:v>
      </x:c>
      <x:c r="L340" s="15" t="str">
        <x:v>Credit card company isn't resolving a dispute about a purchase on your statement</x:v>
      </x:c>
      <x:c r="M340" s="15" t="str">
        <x:f>_xlfn.XLOOKUP(C340,'Lookups'!$A$7:$A$8,'Lookups'!$B$7:$B$8,"Unmapped",0)</x:f>
        <x:v>Card operations</x:v>
      </x:c>
      <x:c r="N340" s="14" t="n">
        <x:f>DATE(YEAR(B340),MONTH(B340),1)</x:f>
        <x:v>46266</x:v>
      </x:c>
    </x:row>
    <x:row r="341" ht="55" customHeight="1">
      <x:c r="A341" s="13" t="str">
        <x:v>28695984</x:v>
      </x:c>
      <x:c r="B341" s="14" t="d">
        <x:v>2026-09-30T00:00:00.000Z</x:v>
      </x:c>
      <x:c r="C341" s="15" t="str">
        <x:v>Checking or savings account</x:v>
      </x:c>
      <x:c r="D341" s="15" t="str">
        <x:v>Managing an account</x:v>
      </x:c>
      <x:c r="E341" s="15" t="str">
        <x:v>JPMORGAN CHASE &amp; CO.</x:v>
      </x:c>
      <x:c r="F341" s="15" t="str">
        <x:v>CA</x:v>
      </x:c>
      <x:c r="G341" s="15" t="str">
        <x:v>Yes</x:v>
      </x:c>
      <x:c r="H341" s="15" t="str">
        <x:v>Closed with explanation</x:v>
      </x:c>
      <x:c r="I341" s="15" t="str">
        <x:v>Web</x:v>
      </x:c>
      <x:c r="J341" s="16" t="d">
        <x:v>2026-09-30T00:00:00.000Z</x:v>
      </x:c>
      <x:c r="K341" s="15" t="str">
        <x:v>Checking account</x:v>
      </x:c>
      <x:c r="L341" s="15" t="str">
        <x:v>Banking errors</x:v>
      </x:c>
      <x:c r="M341" s="15" t="str">
        <x:f>_xlfn.XLOOKUP(C341,'Lookups'!$A$7:$A$8,'Lookups'!$B$7:$B$8,"Unmapped",0)</x:f>
        <x:v>Deposit operations</x:v>
      </x:c>
      <x:c r="N341" s="14" t="n">
        <x:f>DATE(YEAR(B341),MONTH(B341),1)</x:f>
        <x:v>46266</x:v>
      </x:c>
    </x:row>
    <x:row r="342" ht="55" customHeight="1">
      <x:c r="A342" s="13" t="str">
        <x:v>28696046</x:v>
      </x:c>
      <x:c r="B342" s="14" t="d">
        <x:v>2026-09-30T00:00:00.000Z</x:v>
      </x:c>
      <x:c r="C342" s="15" t="str">
        <x:v>Checking or savings account</x:v>
      </x:c>
      <x:c r="D342" s="15" t="str">
        <x:v>Problem caused by your funds being low</x:v>
      </x:c>
      <x:c r="E342" s="15" t="str">
        <x:v>UNITED SERVICES AUTOMOBILE ASSOCIATION</x:v>
      </x:c>
      <x:c r="F342" s="15" t="str">
        <x:v>NY</x:v>
      </x:c>
      <x:c r="G342" s="15" t="str">
        <x:v>Yes</x:v>
      </x:c>
      <x:c r="H342" s="15" t="str">
        <x:v>Closed with explanation</x:v>
      </x:c>
      <x:c r="I342" s="15" t="str">
        <x:v>Web</x:v>
      </x:c>
      <x:c r="J342" s="16" t="d">
        <x:v>2026-09-30T00:00:00.000Z</x:v>
      </x:c>
      <x:c r="K342" s="15" t="str">
        <x:v>Checking account</x:v>
      </x:c>
      <x:c r="L342" s="15" t="str">
        <x:v>Overdrafts and overdraft fees</x:v>
      </x:c>
      <x:c r="M342" s="15" t="str">
        <x:f>_xlfn.XLOOKUP(C342,'Lookups'!$A$7:$A$8,'Lookups'!$B$7:$B$8,"Unmapped",0)</x:f>
        <x:v>Deposit operations</x:v>
      </x:c>
      <x:c r="N342" s="14" t="n">
        <x:f>DATE(YEAR(B342),MONTH(B342),1)</x:f>
        <x:v>46266</x:v>
      </x:c>
    </x:row>
    <x:row r="343" ht="55" customHeight="1">
      <x:c r="A343" s="13" t="str">
        <x:v>28696150</x:v>
      </x:c>
      <x:c r="B343" s="14" t="d">
        <x:v>2026-09-30T00:00:00.000Z</x:v>
      </x:c>
      <x:c r="C343" s="15" t="str">
        <x:v>Checking or savings account</x:v>
      </x:c>
      <x:c r="D343" s="15" t="str">
        <x:v>Managing an account</x:v>
      </x:c>
      <x:c r="E343" s="15" t="str">
        <x:v>Block, Inc.</x:v>
      </x:c>
      <x:c r="F343" s="15" t="str">
        <x:v>FL</x:v>
      </x:c>
      <x:c r="G343" s="15" t="str">
        <x:v>Yes</x:v>
      </x:c>
      <x:c r="H343" s="15" t="str">
        <x:v>Closed with explanation</x:v>
      </x:c>
      <x:c r="I343" s="15" t="str">
        <x:v>Web</x:v>
      </x:c>
      <x:c r="J343" s="16" t="d">
        <x:v>2026-09-30T00:00:00.000Z</x:v>
      </x:c>
      <x:c r="K343" s="15" t="str">
        <x:v>Checking account</x:v>
      </x:c>
      <x:c r="L343" s="15" t="str">
        <x:v>Problem using a debit or ATM card</x:v>
      </x:c>
      <x:c r="M343" s="15" t="str">
        <x:f>_xlfn.XLOOKUP(C343,'Lookups'!$A$7:$A$8,'Lookups'!$B$7:$B$8,"Unmapped",0)</x:f>
        <x:v>Deposit operations</x:v>
      </x:c>
      <x:c r="N343" s="14" t="n">
        <x:f>DATE(YEAR(B343),MONTH(B343),1)</x:f>
        <x:v>46266</x:v>
      </x:c>
    </x:row>
    <x:row r="344" ht="55" customHeight="1">
      <x:c r="A344" s="13" t="str">
        <x:v>28696171</x:v>
      </x:c>
      <x:c r="B344" s="14" t="d">
        <x:v>2026-09-30T00:00:00.000Z</x:v>
      </x:c>
      <x:c r="C344" s="15" t="str">
        <x:v>Checking or savings account</x:v>
      </x:c>
      <x:c r="D344" s="15" t="str">
        <x:v>Managing an account</x:v>
      </x:c>
      <x:c r="E344" s="15" t="str">
        <x:v>JPMORGAN CHASE &amp; CO.</x:v>
      </x:c>
      <x:c r="F344" s="15" t="str">
        <x:v>MO</x:v>
      </x:c>
      <x:c r="G344" s="15" t="str">
        <x:v>Yes</x:v>
      </x:c>
      <x:c r="H344" s="15" t="str">
        <x:v>Closed with explanation</x:v>
      </x:c>
      <x:c r="I344" s="15" t="str">
        <x:v>Web</x:v>
      </x:c>
      <x:c r="J344" s="16" t="d">
        <x:v>2026-09-30T00:00:00.000Z</x:v>
      </x:c>
      <x:c r="K344" s="15" t="str">
        <x:v>Checking account</x:v>
      </x:c>
      <x:c r="L344" s="15" t="str">
        <x:v>Problem making or receiving payments</x:v>
      </x:c>
      <x:c r="M344" s="15" t="str">
        <x:f>_xlfn.XLOOKUP(C344,'Lookups'!$A$7:$A$8,'Lookups'!$B$7:$B$8,"Unmapped",0)</x:f>
        <x:v>Deposit operations</x:v>
      </x:c>
      <x:c r="N344" s="14" t="n">
        <x:f>DATE(YEAR(B344),MONTH(B344),1)</x:f>
        <x:v>46266</x:v>
      </x:c>
    </x:row>
    <x:row r="345" ht="55" customHeight="1">
      <x:c r="A345" s="13" t="str">
        <x:v>28696434</x:v>
      </x:c>
      <x:c r="B345" s="14" t="d">
        <x:v>2026-09-30T00:00:00.000Z</x:v>
      </x:c>
      <x:c r="C345" s="15" t="str">
        <x:v>Checking or savings account</x:v>
      </x:c>
      <x:c r="D345" s="15" t="str">
        <x:v>Managing an account</x:v>
      </x:c>
      <x:c r="E345" s="15" t="str">
        <x:v>JPMORGAN CHASE &amp; CO.</x:v>
      </x:c>
      <x:c r="F345" s="15" t="str">
        <x:v>NJ</x:v>
      </x:c>
      <x:c r="G345" s="15" t="str">
        <x:v>Yes</x:v>
      </x:c>
      <x:c r="H345" s="15" t="str">
        <x:v>Closed with explanation</x:v>
      </x:c>
      <x:c r="I345" s="15" t="str">
        <x:v>Web</x:v>
      </x:c>
      <x:c r="J345" s="16" t="d">
        <x:v>2026-09-30T00:00:00.000Z</x:v>
      </x:c>
      <x:c r="K345" s="15" t="str">
        <x:v>Checking account</x:v>
      </x:c>
      <x:c r="L345" s="15" t="str">
        <x:v>Problem using a debit or ATM card</x:v>
      </x:c>
      <x:c r="M345" s="15" t="str">
        <x:f>_xlfn.XLOOKUP(C345,'Lookups'!$A$7:$A$8,'Lookups'!$B$7:$B$8,"Unmapped",0)</x:f>
        <x:v>Deposit operations</x:v>
      </x:c>
      <x:c r="N345" s="14" t="n">
        <x:f>DATE(YEAR(B345),MONTH(B345),1)</x:f>
        <x:v>46266</x:v>
      </x:c>
    </x:row>
    <x:row r="346" ht="55" customHeight="1">
      <x:c r="A346" s="13" t="str">
        <x:v>28696435</x:v>
      </x:c>
      <x:c r="B346" s="14" t="d">
        <x:v>2026-09-30T00:00:00.000Z</x:v>
      </x:c>
      <x:c r="C346" s="15" t="str">
        <x:v>Credit card</x:v>
      </x:c>
      <x:c r="D346" s="15" t="str">
        <x:v>Fees or interest</x:v>
      </x:c>
      <x:c r="E346" s="15" t="str">
        <x:v>CITIBANK, N.A.</x:v>
      </x:c>
      <x:c r="F346" s="15" t="str">
        <x:v>TN</x:v>
      </x:c>
      <x:c r="G346" s="15" t="str">
        <x:v>Yes</x:v>
      </x:c>
      <x:c r="H346" s="15" t="str">
        <x:v>Closed with monetary relief</x:v>
      </x:c>
      <x:c r="I346" s="15" t="str">
        <x:v>Web</x:v>
      </x:c>
      <x:c r="J346" s="16" t="d">
        <x:v>2026-09-30T00:00:00.000Z</x:v>
      </x:c>
      <x:c r="K346" s="15" t="str">
        <x:v>General-purpose credit card or charge card</x:v>
      </x:c>
      <x:c r="L346" s="15" t="str">
        <x:v>Unexpected increase in interest rate</x:v>
      </x:c>
      <x:c r="M346" s="15" t="str">
        <x:f>_xlfn.XLOOKUP(C346,'Lookups'!$A$7:$A$8,'Lookups'!$B$7:$B$8,"Unmapped",0)</x:f>
        <x:v>Card operations</x:v>
      </x:c>
      <x:c r="N346" s="14" t="n">
        <x:f>DATE(YEAR(B346),MONTH(B346),1)</x:f>
        <x:v>46266</x:v>
      </x:c>
    </x:row>
    <x:row r="347" ht="55" customHeight="1">
      <x:c r="A347" s="13" t="str">
        <x:v>28696438</x:v>
      </x:c>
      <x:c r="B347" s="14" t="d">
        <x:v>2026-09-30T00:00:00.000Z</x:v>
      </x:c>
      <x:c r="C347" s="15" t="str">
        <x:v>Credit card</x:v>
      </x:c>
      <x:c r="D347" s="15" t="str">
        <x:v>Problem with a purchase shown on your statement</x:v>
      </x:c>
      <x:c r="E347" s="15" t="str">
        <x:v>CAPITAL ONE FINANCIAL CORPORATION</x:v>
      </x:c>
      <x:c r="F347" s="15" t="str">
        <x:v>TX</x:v>
      </x:c>
      <x:c r="G347" s="15" t="str">
        <x:v>Yes</x:v>
      </x:c>
      <x:c r="H347" s="15" t="str">
        <x:v>Closed with explanation</x:v>
      </x:c>
      <x:c r="I347" s="15" t="str">
        <x:v>Web</x:v>
      </x:c>
      <x:c r="J347" s="16" t="d">
        <x:v>2026-09-30T00:00:00.000Z</x:v>
      </x:c>
      <x:c r="K347" s="15" t="str">
        <x:v>General-purpose credit card or charge card</x:v>
      </x:c>
      <x:c r="L347" s="15" t="str">
        <x:v>Credit card company isn't resolving a dispute about a purchase on your statement</x:v>
      </x:c>
      <x:c r="M347" s="15" t="str">
        <x:f>_xlfn.XLOOKUP(C347,'Lookups'!$A$7:$A$8,'Lookups'!$B$7:$B$8,"Unmapped",0)</x:f>
        <x:v>Card operations</x:v>
      </x:c>
      <x:c r="N347" s="14" t="n">
        <x:f>DATE(YEAR(B347),MONTH(B347),1)</x:f>
        <x:v>46266</x:v>
      </x:c>
    </x:row>
    <x:row r="348" ht="55" customHeight="1">
      <x:c r="A348" s="13" t="str">
        <x:v>28696513</x:v>
      </x:c>
      <x:c r="B348" s="14" t="d">
        <x:v>2026-09-30T00:00:00.000Z</x:v>
      </x:c>
      <x:c r="C348" s="15" t="str">
        <x:v>Checking or savings account</x:v>
      </x:c>
      <x:c r="D348" s="15" t="str">
        <x:v>Closing an account</x:v>
      </x:c>
      <x:c r="E348" s="15" t="str">
        <x:v>TRUIST FINANCIAL CORPORATION</x:v>
      </x:c>
      <x:c r="F348" s="15" t="str">
        <x:v>DE</x:v>
      </x:c>
      <x:c r="G348" s="15" t="str">
        <x:v>Yes</x:v>
      </x:c>
      <x:c r="H348" s="15" t="str">
        <x:v>Closed with explanation</x:v>
      </x:c>
      <x:c r="I348" s="15" t="str">
        <x:v>Web</x:v>
      </x:c>
      <x:c r="J348" s="16" t="d">
        <x:v>2026-09-30T00:00:00.000Z</x:v>
      </x:c>
      <x:c r="K348" s="15" t="str">
        <x:v>Checking account</x:v>
      </x:c>
      <x:c r="L348" s="15" t="str">
        <x:v>Funds not received from closed account</x:v>
      </x:c>
      <x:c r="M348" s="15" t="str">
        <x:f>_xlfn.XLOOKUP(C348,'Lookups'!$A$7:$A$8,'Lookups'!$B$7:$B$8,"Unmapped",0)</x:f>
        <x:v>Deposit operations</x:v>
      </x:c>
      <x:c r="N348" s="14" t="n">
        <x:f>DATE(YEAR(B348),MONTH(B348),1)</x:f>
        <x:v>46266</x:v>
      </x:c>
    </x:row>
    <x:row r="349" ht="55" customHeight="1">
      <x:c r="A349" s="13" t="str">
        <x:v>28696527</x:v>
      </x:c>
      <x:c r="B349" s="14" t="d">
        <x:v>2026-09-30T00:00:00.000Z</x:v>
      </x:c>
      <x:c r="C349" s="15" t="str">
        <x:v>Credit card</x:v>
      </x:c>
      <x:c r="D349" s="15" t="str">
        <x:v>Advertising and marketing, including promotional offers</x:v>
      </x:c>
      <x:c r="E349" s="15" t="str">
        <x:v>AMERICAN EXPRESS COMPANY</x:v>
      </x:c>
      <x:c r="F349" s="15" t="str">
        <x:v>MA</x:v>
      </x:c>
      <x:c r="G349" s="15" t="str">
        <x:v>Yes</x:v>
      </x:c>
      <x:c r="H349" s="15" t="str">
        <x:v>In progress</x:v>
      </x:c>
      <x:c r="I349" s="15" t="str">
        <x:v>Web</x:v>
      </x:c>
      <x:c r="J349" s="16" t="d">
        <x:v>2026-09-30T00:00:00.000Z</x:v>
      </x:c>
      <x:c r="K349" s="15" t="str">
        <x:v>General-purpose credit card or charge card</x:v>
      </x:c>
      <x:c r="L349" s="15" t="str">
        <x:v>Confusing or misleading advertising about the credit card</x:v>
      </x:c>
      <x:c r="M349" s="15" t="str">
        <x:f>_xlfn.XLOOKUP(C349,'Lookups'!$A$7:$A$8,'Lookups'!$B$7:$B$8,"Unmapped",0)</x:f>
        <x:v>Card operations</x:v>
      </x:c>
      <x:c r="N349" s="14" t="n">
        <x:f>DATE(YEAR(B349),MONTH(B349),1)</x:f>
        <x:v>46266</x:v>
      </x:c>
    </x:row>
    <x:row r="350" ht="55" customHeight="1">
      <x:c r="A350" s="13" t="str">
        <x:v>28696548</x:v>
      </x:c>
      <x:c r="B350" s="14" t="d">
        <x:v>2026-09-30T00:00:00.000Z</x:v>
      </x:c>
      <x:c r="C350" s="15" t="str">
        <x:v>Credit card</x:v>
      </x:c>
      <x:c r="D350" s="15" t="str">
        <x:v>Problem with a purchase shown on your statement</x:v>
      </x:c>
      <x:c r="E350" s="15" t="str">
        <x:v>CITIBANK, N.A.</x:v>
      </x:c>
      <x:c r="F350" s="15" t="str">
        <x:v>VT</x:v>
      </x:c>
      <x:c r="G350" s="15" t="str">
        <x:v>Yes</x:v>
      </x:c>
      <x:c r="H350" s="15" t="str">
        <x:v>In progress</x:v>
      </x:c>
      <x:c r="I350" s="15" t="str">
        <x:v>Phone</x:v>
      </x:c>
      <x:c r="J350" s="16" t="d">
        <x:v>2026-09-30T00:00:00.000Z</x:v>
      </x:c>
      <x:c r="K350" s="15" t="str">
        <x:v>General-purpose credit card or charge card</x:v>
      </x:c>
      <x:c r="L350" s="15" t="str">
        <x:v>Credit card company isn't resolving a dispute about a purchase on your statement</x:v>
      </x:c>
      <x:c r="M350" s="15" t="str">
        <x:f>_xlfn.XLOOKUP(C350,'Lookups'!$A$7:$A$8,'Lookups'!$B$7:$B$8,"Unmapped",0)</x:f>
        <x:v>Card operations</x:v>
      </x:c>
      <x:c r="N350" s="14" t="n">
        <x:f>DATE(YEAR(B350),MONTH(B350),1)</x:f>
        <x:v>46266</x:v>
      </x:c>
    </x:row>
    <x:row r="351" ht="55" customHeight="1">
      <x:c r="A351" s="13" t="str">
        <x:v>28696746</x:v>
      </x:c>
      <x:c r="B351" s="14" t="d">
        <x:v>2026-09-30T00:00:00.000Z</x:v>
      </x:c>
      <x:c r="C351" s="15" t="str">
        <x:v>Credit card</x:v>
      </x:c>
      <x:c r="D351" s="15" t="str">
        <x:v>Problem with a purchase shown on your statement</x:v>
      </x:c>
      <x:c r="E351" s="15" t="str">
        <x:v>CAPITAL ONE FINANCIAL CORPORATION</x:v>
      </x:c>
      <x:c r="F351" s="15" t="str">
        <x:v>NC</x:v>
      </x:c>
      <x:c r="G351" s="15" t="str">
        <x:v>Yes</x:v>
      </x:c>
      <x:c r="H351" s="15" t="str">
        <x:v>In progress</x:v>
      </x:c>
      <x:c r="I351" s="15" t="str">
        <x:v>Web</x:v>
      </x:c>
      <x:c r="J351" s="16" t="d">
        <x:v>2026-09-30T00:00:00.000Z</x:v>
      </x:c>
      <x:c r="K351" s="15" t="str">
        <x:v>General-purpose credit card or charge card</x:v>
      </x:c>
      <x:c r="L351" s="15" t="str">
        <x:v>Credit card company isn't resolving a dispute about a purchase on your statement</x:v>
      </x:c>
      <x:c r="M351" s="15" t="str">
        <x:f>_xlfn.XLOOKUP(C351,'Lookups'!$A$7:$A$8,'Lookups'!$B$7:$B$8,"Unmapped",0)</x:f>
        <x:v>Card operations</x:v>
      </x:c>
      <x:c r="N351" s="14" t="n">
        <x:f>DATE(YEAR(B351),MONTH(B351),1)</x:f>
        <x:v>46266</x:v>
      </x:c>
    </x:row>
    <x:row r="352" ht="55" customHeight="1">
      <x:c r="A352" s="13" t="str">
        <x:v>28697135</x:v>
      </x:c>
      <x:c r="B352" s="14" t="d">
        <x:v>2026-09-30T00:00:00.000Z</x:v>
      </x:c>
      <x:c r="C352" s="15" t="str">
        <x:v>Checking or savings account</x:v>
      </x:c>
      <x:c r="D352" s="15" t="str">
        <x:v>Managing an account</x:v>
      </x:c>
      <x:c r="E352" s="15" t="str">
        <x:v>CAPITAL ONE FINANCIAL CORPORATION</x:v>
      </x:c>
      <x:c r="F352" s="15" t="str">
        <x:v>MN</x:v>
      </x:c>
      <x:c r="G352" s="15" t="str">
        <x:v>Yes</x:v>
      </x:c>
      <x:c r="H352" s="15" t="str">
        <x:v>In progress</x:v>
      </x:c>
      <x:c r="I352" s="15" t="str">
        <x:v>Web</x:v>
      </x:c>
      <x:c r="J352" s="16" t="d">
        <x:v>2026-09-30T00:00:00.000Z</x:v>
      </x:c>
      <x:c r="K352" s="15" t="str">
        <x:v>Checking account</x:v>
      </x:c>
      <x:c r="L352" s="15" t="str">
        <x:v>Deposits and withdrawals</x:v>
      </x:c>
      <x:c r="M352" s="15" t="str">
        <x:f>_xlfn.XLOOKUP(C352,'Lookups'!$A$7:$A$8,'Lookups'!$B$7:$B$8,"Unmapped",0)</x:f>
        <x:v>Deposit operations</x:v>
      </x:c>
      <x:c r="N352" s="14" t="n">
        <x:f>DATE(YEAR(B352),MONTH(B352),1)</x:f>
        <x:v>46266</x:v>
      </x:c>
    </x:row>
    <x:row r="353" ht="55" customHeight="1">
      <x:c r="A353" s="13" t="str">
        <x:v>28697392</x:v>
      </x:c>
      <x:c r="B353" s="14" t="d">
        <x:v>2026-09-30T00:00:00.000Z</x:v>
      </x:c>
      <x:c r="C353" s="15" t="str">
        <x:v>Checking or savings account</x:v>
      </x:c>
      <x:c r="D353" s="15" t="str">
        <x:v>Opening an account</x:v>
      </x:c>
      <x:c r="E353" s="15" t="str">
        <x:v>Fidelity National Information Services, Inc. (FNIS)</x:v>
      </x:c>
      <x:c r="F353" s="15" t="str">
        <x:v>VA</x:v>
      </x:c>
      <x:c r="G353" s="15" t="str">
        <x:v>Yes</x:v>
      </x:c>
      <x:c r="H353" s="15" t="str">
        <x:v>Closed with explanation</x:v>
      </x:c>
      <x:c r="I353" s="15" t="str">
        <x:v>Web</x:v>
      </x:c>
      <x:c r="J353" s="16" t="d">
        <x:v>2026-09-30T00:00:00.000Z</x:v>
      </x:c>
      <x:c r="K353" s="15" t="str">
        <x:v>Checking account</x:v>
      </x:c>
      <x:c r="L353" s="15" t="str">
        <x:v>Unable to open an account</x:v>
      </x:c>
      <x:c r="M353" s="15" t="str">
        <x:f>_xlfn.XLOOKUP(C353,'Lookups'!$A$7:$A$8,'Lookups'!$B$7:$B$8,"Unmapped",0)</x:f>
        <x:v>Deposit operations</x:v>
      </x:c>
      <x:c r="N353" s="14" t="n">
        <x:f>DATE(YEAR(B353),MONTH(B353),1)</x:f>
        <x:v>46266</x:v>
      </x:c>
    </x:row>
    <x:row r="354" ht="55" customHeight="1">
      <x:c r="A354" s="13" t="str">
        <x:v>28697653</x:v>
      </x:c>
      <x:c r="B354" s="14" t="d">
        <x:v>2026-09-30T00:00:00.000Z</x:v>
      </x:c>
      <x:c r="C354" s="15" t="str">
        <x:v>Credit card</x:v>
      </x:c>
      <x:c r="D354" s="15" t="str">
        <x:v>Advertising and marketing, including promotional offers</x:v>
      </x:c>
      <x:c r="E354" s="15" t="str">
        <x:v>CAPITAL ONE FINANCIAL CORPORATION</x:v>
      </x:c>
      <x:c r="F354" s="15" t="str">
        <x:v>NY</x:v>
      </x:c>
      <x:c r="G354" s="15" t="str">
        <x:v>Yes</x:v>
      </x:c>
      <x:c r="H354" s="15" t="str">
        <x:v>In progress</x:v>
      </x:c>
      <x:c r="I354" s="15" t="str">
        <x:v>Web</x:v>
      </x:c>
      <x:c r="J354" s="16" t="d">
        <x:v>2026-09-30T00:00:00.000Z</x:v>
      </x:c>
      <x:c r="K354" s="15" t="str">
        <x:v>General-purpose credit card or charge card</x:v>
      </x:c>
      <x:c r="L354" s="15" t="str">
        <x:v>Confusing or misleading advertising about the credit card</x:v>
      </x:c>
      <x:c r="M354" s="15" t="str">
        <x:f>_xlfn.XLOOKUP(C354,'Lookups'!$A$7:$A$8,'Lookups'!$B$7:$B$8,"Unmapped",0)</x:f>
        <x:v>Card operations</x:v>
      </x:c>
      <x:c r="N354" s="14" t="n">
        <x:f>DATE(YEAR(B354),MONTH(B354),1)</x:f>
        <x:v>46266</x:v>
      </x:c>
    </x:row>
    <x:row r="355" ht="55" customHeight="1">
      <x:c r="A355" s="13" t="str">
        <x:v>28697716</x:v>
      </x:c>
      <x:c r="B355" s="14" t="d">
        <x:v>2026-09-30T00:00:00.000Z</x:v>
      </x:c>
      <x:c r="C355" s="15" t="str">
        <x:v>Checking or savings account</x:v>
      </x:c>
      <x:c r="D355" s="15" t="str">
        <x:v>Opening an account</x:v>
      </x:c>
      <x:c r="E355" s="15" t="str">
        <x:v>Fidelity National Information Services, Inc. (FNIS)</x:v>
      </x:c>
      <x:c r="F355" s="15" t="str">
        <x:v>GA</x:v>
      </x:c>
      <x:c r="G355" s="15" t="str">
        <x:v>Yes</x:v>
      </x:c>
      <x:c r="H355" s="15" t="str">
        <x:v>Closed with explanation</x:v>
      </x:c>
      <x:c r="I355" s="15" t="str">
        <x:v>Web</x:v>
      </x:c>
      <x:c r="J355" s="16" t="d">
        <x:v>2026-09-30T00:00:00.000Z</x:v>
      </x:c>
      <x:c r="K355" s="15" t="str">
        <x:v>Checking account</x:v>
      </x:c>
      <x:c r="L355" s="15" t="str">
        <x:v>Unable to open an account</x:v>
      </x:c>
      <x:c r="M355" s="15" t="str">
        <x:f>_xlfn.XLOOKUP(C355,'Lookups'!$A$7:$A$8,'Lookups'!$B$7:$B$8,"Unmapped",0)</x:f>
        <x:v>Deposit operations</x:v>
      </x:c>
      <x:c r="N355" s="14" t="n">
        <x:f>DATE(YEAR(B355),MONTH(B355),1)</x:f>
        <x:v>46266</x:v>
      </x:c>
    </x:row>
    <x:row r="356" ht="55" customHeight="1">
      <x:c r="A356" s="13" t="str">
        <x:v>28697757</x:v>
      </x:c>
      <x:c r="B356" s="14" t="d">
        <x:v>2026-09-30T00:00:00.000Z</x:v>
      </x:c>
      <x:c r="C356" s="15" t="str">
        <x:v>Credit card</x:v>
      </x:c>
      <x:c r="D356" s="15" t="str">
        <x:v>Trouble using your card</x:v>
      </x:c>
      <x:c r="E356" s="15" t="str">
        <x:v>Bread Financial Holdings, Inc.</x:v>
      </x:c>
      <x:c r="F356" s="15" t="str">
        <x:v>NY</x:v>
      </x:c>
      <x:c r="G356" s="15" t="str">
        <x:v>Yes</x:v>
      </x:c>
      <x:c r="H356" s="15" t="str">
        <x:v>Closed with explanation</x:v>
      </x:c>
      <x:c r="I356" s="15" t="str">
        <x:v>Web</x:v>
      </x:c>
      <x:c r="J356" s="16" t="d">
        <x:v>2026-09-30T00:00:00.000Z</x:v>
      </x:c>
      <x:c r="K356" s="15" t="str">
        <x:v>Store credit card</x:v>
      </x:c>
      <x:c r="L356" s="15" t="str">
        <x:v>Can't use card to make purchases</x:v>
      </x:c>
      <x:c r="M356" s="15" t="str">
        <x:f>_xlfn.XLOOKUP(C356,'Lookups'!$A$7:$A$8,'Lookups'!$B$7:$B$8,"Unmapped",0)</x:f>
        <x:v>Card operations</x:v>
      </x:c>
      <x:c r="N356" s="14" t="n">
        <x:f>DATE(YEAR(B356),MONTH(B356),1)</x:f>
        <x:v>46266</x:v>
      </x:c>
    </x:row>
    <x:row r="357" ht="55" customHeight="1">
      <x:c r="A357" s="13" t="str">
        <x:v>28697778</x:v>
      </x:c>
      <x:c r="B357" s="14" t="d">
        <x:v>2026-09-30T00:00:00.000Z</x:v>
      </x:c>
      <x:c r="C357" s="15" t="str">
        <x:v>Checking or savings account</x:v>
      </x:c>
      <x:c r="D357" s="15" t="str">
        <x:v>Managing an account</x:v>
      </x:c>
      <x:c r="E357" s="15" t="str">
        <x:v>BANK OF AMERICA, NATIONAL ASSOCIATION</x:v>
      </x:c>
      <x:c r="F357" s="15" t="str">
        <x:v>NY</x:v>
      </x:c>
      <x:c r="G357" s="15" t="str">
        <x:v>Yes</x:v>
      </x:c>
      <x:c r="H357" s="15" t="str">
        <x:v>In progress</x:v>
      </x:c>
      <x:c r="I357" s="15" t="str">
        <x:v>Web</x:v>
      </x:c>
      <x:c r="J357" s="16" t="d">
        <x:v>2026-09-30T00:00:00.000Z</x:v>
      </x:c>
      <x:c r="K357" s="15" t="str">
        <x:v>Other banking product or service</x:v>
      </x:c>
      <x:c r="L357" s="15" t="str">
        <x:v>Problem accessing account</x:v>
      </x:c>
      <x:c r="M357" s="15" t="str">
        <x:f>_xlfn.XLOOKUP(C357,'Lookups'!$A$7:$A$8,'Lookups'!$B$7:$B$8,"Unmapped",0)</x:f>
        <x:v>Deposit operations</x:v>
      </x:c>
      <x:c r="N357" s="14" t="n">
        <x:f>DATE(YEAR(B357),MONTH(B357),1)</x:f>
        <x:v>46266</x:v>
      </x:c>
    </x:row>
    <x:row r="358" ht="55" customHeight="1">
      <x:c r="A358" s="13" t="str">
        <x:v>28697928</x:v>
      </x:c>
      <x:c r="B358" s="14" t="d">
        <x:v>2026-09-30T00:00:00.000Z</x:v>
      </x:c>
      <x:c r="C358" s="15" t="str">
        <x:v>Checking or savings account</x:v>
      </x:c>
      <x:c r="D358" s="15" t="str">
        <x:v>Managing an account</x:v>
      </x:c>
      <x:c r="E358" s="15" t="str">
        <x:v>CITIBANK, N.A.</x:v>
      </x:c>
      <x:c r="F358" s="15" t="str">
        <x:v>CO</x:v>
      </x:c>
      <x:c r="G358" s="15" t="str">
        <x:v>Yes</x:v>
      </x:c>
      <x:c r="H358" s="15" t="str">
        <x:v>Closed with explanation</x:v>
      </x:c>
      <x:c r="I358" s="15" t="str">
        <x:v>Web</x:v>
      </x:c>
      <x:c r="J358" s="16" t="d">
        <x:v>2026-09-30T00:00:00.000Z</x:v>
      </x:c>
      <x:c r="K358" s="15" t="str">
        <x:v>Checking account</x:v>
      </x:c>
      <x:c r="L358" s="15" t="str">
        <x:v>Banking errors</x:v>
      </x:c>
      <x:c r="M358" s="15" t="str">
        <x:f>_xlfn.XLOOKUP(C358,'Lookups'!$A$7:$A$8,'Lookups'!$B$7:$B$8,"Unmapped",0)</x:f>
        <x:v>Deposit operations</x:v>
      </x:c>
      <x:c r="N358" s="14" t="n">
        <x:f>DATE(YEAR(B358),MONTH(B358),1)</x:f>
        <x:v>46266</x:v>
      </x:c>
    </x:row>
    <x:row r="359" ht="55" customHeight="1">
      <x:c r="A359" s="13" t="str">
        <x:v>28697991</x:v>
      </x:c>
      <x:c r="B359" s="14" t="d">
        <x:v>2026-09-30T00:00:00.000Z</x:v>
      </x:c>
      <x:c r="C359" s="15" t="str">
        <x:v>Checking or savings account</x:v>
      </x:c>
      <x:c r="D359" s="15" t="str">
        <x:v>Managing an account</x:v>
      </x:c>
      <x:c r="E359" s="15" t="str">
        <x:v>NAVY FEDERAL CREDIT UNION</x:v>
      </x:c>
      <x:c r="F359" s="15" t="str">
        <x:v>FL</x:v>
      </x:c>
      <x:c r="G359" s="15" t="str">
        <x:v>Yes</x:v>
      </x:c>
      <x:c r="H359" s="15" t="str">
        <x:v>In progress</x:v>
      </x:c>
      <x:c r="I359" s="15" t="str">
        <x:v>Phone</x:v>
      </x:c>
      <x:c r="J359" s="16" t="d">
        <x:v>2026-09-30T00:00:00.000Z</x:v>
      </x:c>
      <x:c r="K359" s="15" t="str">
        <x:v>Checking account</x:v>
      </x:c>
      <x:c r="L359" s="15" t="str">
        <x:v>Deposits and withdrawals</x:v>
      </x:c>
      <x:c r="M359" s="15" t="str">
        <x:f>_xlfn.XLOOKUP(C359,'Lookups'!$A$7:$A$8,'Lookups'!$B$7:$B$8,"Unmapped",0)</x:f>
        <x:v>Deposit operations</x:v>
      </x:c>
      <x:c r="N359" s="14" t="n">
        <x:f>DATE(YEAR(B359),MONTH(B359),1)</x:f>
        <x:v>46266</x:v>
      </x:c>
    </x:row>
    <x:row r="360" ht="55" customHeight="1">
      <x:c r="A360" s="13" t="str">
        <x:v>28698030</x:v>
      </x:c>
      <x:c r="B360" s="14" t="d">
        <x:v>2026-09-30T00:00:00.000Z</x:v>
      </x:c>
      <x:c r="C360" s="15" t="str">
        <x:v>Credit card</x:v>
      </x:c>
      <x:c r="D360" s="15" t="str">
        <x:v>Getting a credit card</x:v>
      </x:c>
      <x:c r="E360" s="15" t="str">
        <x:v>Experian Information Solutions Inc.</x:v>
      </x:c>
      <x:c r="F360" s="15" t="str">
        <x:v>PA</x:v>
      </x:c>
      <x:c r="G360" s="15" t="str">
        <x:v>Yes</x:v>
      </x:c>
      <x:c r="H360" s="15" t="str">
        <x:v>In progress</x:v>
      </x:c>
      <x:c r="I360" s="15" t="str">
        <x:v>Web</x:v>
      </x:c>
      <x:c r="J360" s="16" t="d">
        <x:v>2026-09-30T00:00:00.000Z</x:v>
      </x:c>
      <x:c r="K360" s="15" t="str">
        <x:v>General-purpose credit card or charge card</x:v>
      </x:c>
      <x:c r="L360" s="15" t="str">
        <x:v>Card opened without my consent or knowledge</x:v>
      </x:c>
      <x:c r="M360" s="15" t="str">
        <x:f>_xlfn.XLOOKUP(C360,'Lookups'!$A$7:$A$8,'Lookups'!$B$7:$B$8,"Unmapped",0)</x:f>
        <x:v>Card operations</x:v>
      </x:c>
      <x:c r="N360" s="14" t="n">
        <x:f>DATE(YEAR(B360),MONTH(B360),1)</x:f>
        <x:v>46266</x:v>
      </x:c>
    </x:row>
    <x:row r="361" ht="55" customHeight="1">
      <x:c r="A361" s="13" t="str">
        <x:v>28698162</x:v>
      </x:c>
      <x:c r="B361" s="14" t="d">
        <x:v>2026-09-30T00:00:00.000Z</x:v>
      </x:c>
      <x:c r="C361" s="15" t="str">
        <x:v>Credit card</x:v>
      </x:c>
      <x:c r="D361" s="15" t="str">
        <x:v>Other features, terms, or problems</x:v>
      </x:c>
      <x:c r="E361" s="15" t="str">
        <x:v>CAPITAL ONE FINANCIAL CORPORATION</x:v>
      </x:c>
      <x:c r="F361" s="15" t="str">
        <x:v>AK</x:v>
      </x:c>
      <x:c r="G361" s="15" t="str">
        <x:v>Yes</x:v>
      </x:c>
      <x:c r="H361" s="15" t="str">
        <x:v>In progress</x:v>
      </x:c>
      <x:c r="I361" s="15" t="str">
        <x:v>Web</x:v>
      </x:c>
      <x:c r="J361" s="16" t="d">
        <x:v>2026-09-30T00:00:00.000Z</x:v>
      </x:c>
      <x:c r="K361" s="15" t="str">
        <x:v>General-purpose credit card or charge card</x:v>
      </x:c>
      <x:c r="L361" s="15" t="str">
        <x:v>Other problem</x:v>
      </x:c>
      <x:c r="M361" s="15" t="str">
        <x:f>_xlfn.XLOOKUP(C361,'Lookups'!$A$7:$A$8,'Lookups'!$B$7:$B$8,"Unmapped",0)</x:f>
        <x:v>Card operations</x:v>
      </x:c>
      <x:c r="N361" s="14" t="n">
        <x:f>DATE(YEAR(B361),MONTH(B361),1)</x:f>
        <x:v>46266</x:v>
      </x:c>
    </x:row>
    <x:row r="362" ht="55" customHeight="1">
      <x:c r="A362" s="13" t="str">
        <x:v>28698183</x:v>
      </x:c>
      <x:c r="B362" s="14" t="d">
        <x:v>2026-09-30T00:00:00.000Z</x:v>
      </x:c>
      <x:c r="C362" s="15" t="str">
        <x:v>Checking or savings account</x:v>
      </x:c>
      <x:c r="D362" s="15" t="str">
        <x:v>Managing an account</x:v>
      </x:c>
      <x:c r="E362" s="15" t="str">
        <x:v>JPMORGAN CHASE &amp; CO.</x:v>
      </x:c>
      <x:c r="F362" s="15" t="str">
        <x:v>OR</x:v>
      </x:c>
      <x:c r="G362" s="15" t="str">
        <x:v>Yes</x:v>
      </x:c>
      <x:c r="H362" s="15" t="str">
        <x:v>Closed with explanation</x:v>
      </x:c>
      <x:c r="I362" s="15" t="str">
        <x:v>Phone</x:v>
      </x:c>
      <x:c r="J362" s="16" t="d">
        <x:v>2026-09-30T00:00:00.000Z</x:v>
      </x:c>
      <x:c r="K362" s="15" t="str">
        <x:v>Checking account</x:v>
      </x:c>
      <x:c r="L362" s="15" t="str">
        <x:v>Deposits and withdrawals</x:v>
      </x:c>
      <x:c r="M362" s="15" t="str">
        <x:f>_xlfn.XLOOKUP(C362,'Lookups'!$A$7:$A$8,'Lookups'!$B$7:$B$8,"Unmapped",0)</x:f>
        <x:v>Deposit operations</x:v>
      </x:c>
      <x:c r="N362" s="14" t="n">
        <x:f>DATE(YEAR(B362),MONTH(B362),1)</x:f>
        <x:v>46266</x:v>
      </x:c>
    </x:row>
    <x:row r="363" ht="55" customHeight="1">
      <x:c r="A363" s="13" t="str">
        <x:v>28698248</x:v>
      </x:c>
      <x:c r="B363" s="14" t="d">
        <x:v>2026-09-30T00:00:00.000Z</x:v>
      </x:c>
      <x:c r="C363" s="15" t="str">
        <x:v>Credit card</x:v>
      </x:c>
      <x:c r="D363" s="15" t="str">
        <x:v>Getting a credit card</x:v>
      </x:c>
      <x:c r="E363" s="15" t="str">
        <x:v>TRANSUNION INTERMEDIATE HOLDINGS, INC.</x:v>
      </x:c>
      <x:c r="F363" s="15" t="str">
        <x:v>PA</x:v>
      </x:c>
      <x:c r="G363" s="15" t="str">
        <x:v>Yes</x:v>
      </x:c>
      <x:c r="H363" s="15" t="str">
        <x:v>In progress</x:v>
      </x:c>
      <x:c r="I363" s="15" t="str">
        <x:v>Web</x:v>
      </x:c>
      <x:c r="J363" s="16" t="d">
        <x:v>2026-09-30T00:00:00.000Z</x:v>
      </x:c>
      <x:c r="K363" s="15" t="str">
        <x:v>General-purpose credit card or charge card</x:v>
      </x:c>
      <x:c r="L363" s="15" t="str">
        <x:v>Card opened without my consent or knowledge</x:v>
      </x:c>
      <x:c r="M363" s="15" t="str">
        <x:f>_xlfn.XLOOKUP(C363,'Lookups'!$A$7:$A$8,'Lookups'!$B$7:$B$8,"Unmapped",0)</x:f>
        <x:v>Card operations</x:v>
      </x:c>
      <x:c r="N363" s="14" t="n">
        <x:f>DATE(YEAR(B363),MONTH(B363),1)</x:f>
        <x:v>46266</x:v>
      </x:c>
    </x:row>
    <x:row r="364" ht="55" customHeight="1">
      <x:c r="A364" s="13" t="str">
        <x:v>28698322</x:v>
      </x:c>
      <x:c r="B364" s="14" t="d">
        <x:v>2026-09-30T00:00:00.000Z</x:v>
      </x:c>
      <x:c r="C364" s="15" t="str">
        <x:v>Checking or savings account</x:v>
      </x:c>
      <x:c r="D364" s="15" t="str">
        <x:v>Managing an account</x:v>
      </x:c>
      <x:c r="E364" s="15" t="str">
        <x:v>CAPITAL ONE FINANCIAL CORPORATION</x:v>
      </x:c>
      <x:c r="F364" s="15" t="str">
        <x:v>LA</x:v>
      </x:c>
      <x:c r="G364" s="15" t="str">
        <x:v>Yes</x:v>
      </x:c>
      <x:c r="H364" s="15" t="str">
        <x:v>Closed with explanation</x:v>
      </x:c>
      <x:c r="I364" s="15" t="str">
        <x:v>Web</x:v>
      </x:c>
      <x:c r="J364" s="16" t="d">
        <x:v>2026-09-30T00:00:00.000Z</x:v>
      </x:c>
      <x:c r="K364" s="15" t="str">
        <x:v>Checking account</x:v>
      </x:c>
      <x:c r="L364" s="15" t="str">
        <x:v>Problem using a debit or ATM card</x:v>
      </x:c>
      <x:c r="M364" s="15" t="str">
        <x:f>_xlfn.XLOOKUP(C364,'Lookups'!$A$7:$A$8,'Lookups'!$B$7:$B$8,"Unmapped",0)</x:f>
        <x:v>Deposit operations</x:v>
      </x:c>
      <x:c r="N364" s="14" t="n">
        <x:f>DATE(YEAR(B364),MONTH(B364),1)</x:f>
        <x:v>46266</x:v>
      </x:c>
    </x:row>
    <x:row r="365" ht="55" customHeight="1">
      <x:c r="A365" s="13" t="str">
        <x:v>28698392</x:v>
      </x:c>
      <x:c r="B365" s="14" t="d">
        <x:v>2026-09-30T00:00:00.000Z</x:v>
      </x:c>
      <x:c r="C365" s="15" t="str">
        <x:v>Credit card</x:v>
      </x:c>
      <x:c r="D365" s="15" t="str">
        <x:v>Advertising and marketing, including promotional offers</x:v>
      </x:c>
      <x:c r="E365" s="15" t="str">
        <x:v>CITIBANK, N.A.</x:v>
      </x:c>
      <x:c r="F365" s="15" t="str">
        <x:v>GA</x:v>
      </x:c>
      <x:c r="G365" s="15" t="str">
        <x:v>Yes</x:v>
      </x:c>
      <x:c r="H365" s="15" t="str">
        <x:v>Closed with explanation</x:v>
      </x:c>
      <x:c r="I365" s="15" t="str">
        <x:v>Web</x:v>
      </x:c>
      <x:c r="J365" s="16" t="d">
        <x:v>2026-09-30T00:00:00.000Z</x:v>
      </x:c>
      <x:c r="K365" s="15" t="str">
        <x:v>General-purpose credit card or charge card</x:v>
      </x:c>
      <x:c r="L365" s="15" t="str">
        <x:v>Confusing or misleading advertising about the credit card</x:v>
      </x:c>
      <x:c r="M365" s="15" t="str">
        <x:f>_xlfn.XLOOKUP(C365,'Lookups'!$A$7:$A$8,'Lookups'!$B$7:$B$8,"Unmapped",0)</x:f>
        <x:v>Card operations</x:v>
      </x:c>
      <x:c r="N365" s="14" t="n">
        <x:f>DATE(YEAR(B365),MONTH(B365),1)</x:f>
        <x:v>46266</x:v>
      </x:c>
    </x:row>
    <x:row r="366" ht="55" customHeight="1">
      <x:c r="A366" s="13" t="str">
        <x:v>28698457</x:v>
      </x:c>
      <x:c r="B366" s="14" t="d">
        <x:v>2026-09-30T00:00:00.000Z</x:v>
      </x:c>
      <x:c r="C366" s="15" t="str">
        <x:v>Credit card</x:v>
      </x:c>
      <x:c r="D366" s="15" t="str">
        <x:v>Getting a credit card</x:v>
      </x:c>
      <x:c r="E366" s="15" t="str">
        <x:v>EQUIFAX, INC.</x:v>
      </x:c>
      <x:c r="F366" s="15" t="str">
        <x:v>PA</x:v>
      </x:c>
      <x:c r="G366" s="15" t="str">
        <x:v>Yes</x:v>
      </x:c>
      <x:c r="H366" s="15" t="str">
        <x:v>In progress</x:v>
      </x:c>
      <x:c r="I366" s="15" t="str">
        <x:v>Web</x:v>
      </x:c>
      <x:c r="J366" s="16" t="d">
        <x:v>2026-09-30T00:00:00.000Z</x:v>
      </x:c>
      <x:c r="K366" s="15" t="str">
        <x:v>General-purpose credit card or charge card</x:v>
      </x:c>
      <x:c r="L366" s="15" t="str">
        <x:v>Card opened without my consent or knowledge</x:v>
      </x:c>
      <x:c r="M366" s="15" t="str">
        <x:f>_xlfn.XLOOKUP(C366,'Lookups'!$A$7:$A$8,'Lookups'!$B$7:$B$8,"Unmapped",0)</x:f>
        <x:v>Card operations</x:v>
      </x:c>
      <x:c r="N366" s="14" t="n">
        <x:f>DATE(YEAR(B366),MONTH(B366),1)</x:f>
        <x:v>46266</x:v>
      </x:c>
    </x:row>
    <x:row r="367" ht="55" customHeight="1">
      <x:c r="A367" s="13" t="str">
        <x:v>28698478</x:v>
      </x:c>
      <x:c r="B367" s="14" t="d">
        <x:v>2026-09-30T00:00:00.000Z</x:v>
      </x:c>
      <x:c r="C367" s="15" t="str">
        <x:v>Credit card</x:v>
      </x:c>
      <x:c r="D367" s="15" t="str">
        <x:v>Fees or interest</x:v>
      </x:c>
      <x:c r="E367" s="15" t="str">
        <x:v>CITIBANK, N.A.</x:v>
      </x:c>
      <x:c r="F367" s="15" t="str">
        <x:v>FL</x:v>
      </x:c>
      <x:c r="G367" s="15" t="str">
        <x:v>Yes</x:v>
      </x:c>
      <x:c r="H367" s="15" t="str">
        <x:v>Closed with explanation</x:v>
      </x:c>
      <x:c r="I367" s="15" t="str">
        <x:v>Web</x:v>
      </x:c>
      <x:c r="J367" s="16" t="d">
        <x:v>2026-09-30T00:00:00.000Z</x:v>
      </x:c>
      <x:c r="K367" s="15" t="str">
        <x:v>Store credit card</x:v>
      </x:c>
      <x:c r="L367" s="15" t="str">
        <x:v>Charged too much interest</x:v>
      </x:c>
      <x:c r="M367" s="15" t="str">
        <x:f>_xlfn.XLOOKUP(C367,'Lookups'!$A$7:$A$8,'Lookups'!$B$7:$B$8,"Unmapped",0)</x:f>
        <x:v>Card operations</x:v>
      </x:c>
      <x:c r="N367" s="14" t="n">
        <x:f>DATE(YEAR(B367),MONTH(B367),1)</x:f>
        <x:v>46266</x:v>
      </x:c>
    </x:row>
    <x:row r="368" ht="55" customHeight="1">
      <x:c r="A368" s="13" t="str">
        <x:v>28698786</x:v>
      </x:c>
      <x:c r="B368" s="14" t="d">
        <x:v>2026-09-30T00:00:00.000Z</x:v>
      </x:c>
      <x:c r="C368" s="15" t="str">
        <x:v>Checking or savings account</x:v>
      </x:c>
      <x:c r="D368" s="15" t="str">
        <x:v>Managing an account</x:v>
      </x:c>
      <x:c r="E368" s="15" t="str">
        <x:v>U.S. BANCORP</x:v>
      </x:c>
      <x:c r="F368" s="15" t="str">
        <x:v>WI</x:v>
      </x:c>
      <x:c r="G368" s="15" t="str">
        <x:v>Yes</x:v>
      </x:c>
      <x:c r="H368" s="15" t="str">
        <x:v>Closed with explanation</x:v>
      </x:c>
      <x:c r="I368" s="15" t="str">
        <x:v>Web</x:v>
      </x:c>
      <x:c r="J368" s="16" t="d">
        <x:v>2026-09-30T00:00:00.000Z</x:v>
      </x:c>
      <x:c r="K368" s="15" t="str">
        <x:v>Other banking product or service</x:v>
      </x:c>
      <x:c r="L368" s="15" t="str">
        <x:v>Deposits and withdrawals</x:v>
      </x:c>
      <x:c r="M368" s="15" t="str">
        <x:f>_xlfn.XLOOKUP(C368,'Lookups'!$A$7:$A$8,'Lookups'!$B$7:$B$8,"Unmapped",0)</x:f>
        <x:v>Deposit operations</x:v>
      </x:c>
      <x:c r="N368" s="14" t="n">
        <x:f>DATE(YEAR(B368),MONTH(B368),1)</x:f>
        <x:v>46266</x:v>
      </x:c>
    </x:row>
    <x:row r="369" ht="55" customHeight="1">
      <x:c r="A369" s="13" t="str">
        <x:v>28698951</x:v>
      </x:c>
      <x:c r="B369" s="14" t="d">
        <x:v>2026-09-30T00:00:00.000Z</x:v>
      </x:c>
      <x:c r="C369" s="15" t="str">
        <x:v>Checking or savings account</x:v>
      </x:c>
      <x:c r="D369" s="15" t="str">
        <x:v>Closing an account</x:v>
      </x:c>
      <x:c r="E369" s="15" t="str">
        <x:v>Block, Inc.</x:v>
      </x:c>
      <x:c r="F369" s="15" t="str">
        <x:v>NJ</x:v>
      </x:c>
      <x:c r="G369" s="15" t="str">
        <x:v>Yes</x:v>
      </x:c>
      <x:c r="H369" s="15" t="str">
        <x:v>Closed with explanation</x:v>
      </x:c>
      <x:c r="I369" s="15" t="str">
        <x:v>Web</x:v>
      </x:c>
      <x:c r="J369" s="16" t="d">
        <x:v>2026-09-30T00:00:00.000Z</x:v>
      </x:c>
      <x:c r="K369" s="15" t="str">
        <x:v>Checking account</x:v>
      </x:c>
      <x:c r="L369" s="15" t="str">
        <x:v>Company closed your account</x:v>
      </x:c>
      <x:c r="M369" s="15" t="str">
        <x:f>_xlfn.XLOOKUP(C369,'Lookups'!$A$7:$A$8,'Lookups'!$B$7:$B$8,"Unmapped",0)</x:f>
        <x:v>Deposit operations</x:v>
      </x:c>
      <x:c r="N369" s="14" t="n">
        <x:f>DATE(YEAR(B369),MONTH(B369),1)</x:f>
        <x:v>46266</x:v>
      </x:c>
    </x:row>
    <x:row r="370" ht="55" customHeight="1">
      <x:c r="A370" s="13" t="str">
        <x:v>28698952</x:v>
      </x:c>
      <x:c r="B370" s="14" t="d">
        <x:v>2026-09-30T00:00:00.000Z</x:v>
      </x:c>
      <x:c r="C370" s="15" t="str">
        <x:v>Credit card</x:v>
      </x:c>
      <x:c r="D370" s="15" t="str">
        <x:v>Problem with a purchase shown on your statement</x:v>
      </x:c>
      <x:c r="E370" s="15" t="str">
        <x:v>BARCLAYS BANK DELAWARE</x:v>
      </x:c>
      <x:c r="F370" s="15" t="str">
        <x:v>NJ</x:v>
      </x:c>
      <x:c r="G370" s="15" t="str">
        <x:v>Yes</x:v>
      </x:c>
      <x:c r="H370" s="15" t="str">
        <x:v>Closed with explanation</x:v>
      </x:c>
      <x:c r="I370" s="15" t="str">
        <x:v>Web</x:v>
      </x:c>
      <x:c r="J370" s="16" t="d">
        <x:v>2026-09-30T00:00:00.000Z</x:v>
      </x:c>
      <x:c r="K370" s="15" t="str">
        <x:v>General-purpose credit card or charge card</x:v>
      </x:c>
      <x:c r="L370" s="15" t="str">
        <x:v>Credit card company isn't resolving a dispute about a purchase on your statement</x:v>
      </x:c>
      <x:c r="M370" s="15" t="str">
        <x:f>_xlfn.XLOOKUP(C370,'Lookups'!$A$7:$A$8,'Lookups'!$B$7:$B$8,"Unmapped",0)</x:f>
        <x:v>Card operations</x:v>
      </x:c>
      <x:c r="N370" s="14" t="n">
        <x:f>DATE(YEAR(B370),MONTH(B370),1)</x:f>
        <x:v>46266</x:v>
      </x:c>
    </x:row>
    <x:row r="371" ht="55" customHeight="1">
      <x:c r="A371" s="13" t="str">
        <x:v>28698962</x:v>
      </x:c>
      <x:c r="B371" s="14" t="d">
        <x:v>2026-09-30T00:00:00.000Z</x:v>
      </x:c>
      <x:c r="C371" s="15" t="str">
        <x:v>Credit card</x:v>
      </x:c>
      <x:c r="D371" s="15" t="str">
        <x:v>Other features, terms, or problems</x:v>
      </x:c>
      <x:c r="E371" s="15" t="str">
        <x:v>CITIBANK, N.A.</x:v>
      </x:c>
      <x:c r="F371" s="15" t="str">
        <x:v>IL</x:v>
      </x:c>
      <x:c r="G371" s="15" t="str">
        <x:v>Yes</x:v>
      </x:c>
      <x:c r="H371" s="15" t="str">
        <x:v>Closed with explanation</x:v>
      </x:c>
      <x:c r="I371" s="15" t="str">
        <x:v>Web</x:v>
      </x:c>
      <x:c r="J371" s="16" t="d">
        <x:v>2026-09-30T00:00:00.000Z</x:v>
      </x:c>
      <x:c r="K371" s="15" t="str">
        <x:v>General-purpose credit card or charge card</x:v>
      </x:c>
      <x:c r="L371" s="15" t="str">
        <x:v>Problem with rewards from credit card</x:v>
      </x:c>
      <x:c r="M371" s="15" t="str">
        <x:f>_xlfn.XLOOKUP(C371,'Lookups'!$A$7:$A$8,'Lookups'!$B$7:$B$8,"Unmapped",0)</x:f>
        <x:v>Card operations</x:v>
      </x:c>
      <x:c r="N371" s="14" t="n">
        <x:f>DATE(YEAR(B371),MONTH(B371),1)</x:f>
        <x:v>46266</x:v>
      </x:c>
    </x:row>
    <x:row r="372" ht="55" customHeight="1">
      <x:c r="A372" s="13" t="str">
        <x:v>28699060</x:v>
      </x:c>
      <x:c r="B372" s="14" t="d">
        <x:v>2026-09-30T00:00:00.000Z</x:v>
      </x:c>
      <x:c r="C372" s="15" t="str">
        <x:v>Credit card</x:v>
      </x:c>
      <x:c r="D372" s="15" t="str">
        <x:v>Problem when making payments</x:v>
      </x:c>
      <x:c r="E372" s="15" t="str">
        <x:v>Bread Financial Holdings, Inc.</x:v>
      </x:c>
      <x:c r="F372" s="15" t="str">
        <x:v>FL</x:v>
      </x:c>
      <x:c r="G372" s="15" t="str">
        <x:v>Yes</x:v>
      </x:c>
      <x:c r="H372" s="15" t="str">
        <x:v>Closed with explanation</x:v>
      </x:c>
      <x:c r="I372" s="15" t="str">
        <x:v>Web</x:v>
      </x:c>
      <x:c r="J372" s="16" t="d">
        <x:v>2026-09-30T00:00:00.000Z</x:v>
      </x:c>
      <x:c r="K372" s="15" t="str">
        <x:v>Store credit card</x:v>
      </x:c>
      <x:c r="L372" s="15" t="str">
        <x:v>You never received your bill or did not know a payment was due</x:v>
      </x:c>
      <x:c r="M372" s="15" t="str">
        <x:f>_xlfn.XLOOKUP(C372,'Lookups'!$A$7:$A$8,'Lookups'!$B$7:$B$8,"Unmapped",0)</x:f>
        <x:v>Card operations</x:v>
      </x:c>
      <x:c r="N372" s="14" t="n">
        <x:f>DATE(YEAR(B372),MONTH(B372),1)</x:f>
        <x:v>46266</x:v>
      </x:c>
    </x:row>
    <x:row r="373" ht="55" customHeight="1">
      <x:c r="A373" s="13" t="str">
        <x:v>28699087</x:v>
      </x:c>
      <x:c r="B373" s="14" t="d">
        <x:v>2026-09-30T00:00:00.000Z</x:v>
      </x:c>
      <x:c r="C373" s="15" t="str">
        <x:v>Checking or savings account</x:v>
      </x:c>
      <x:c r="D373" s="15" t="str">
        <x:v>Managing an account</x:v>
      </x:c>
      <x:c r="E373" s="15" t="str">
        <x:v>PNC Bank N.A.</x:v>
      </x:c>
      <x:c r="F373" s="15" t="str">
        <x:v>MD</x:v>
      </x:c>
      <x:c r="G373" s="15" t="str">
        <x:v>Yes</x:v>
      </x:c>
      <x:c r="H373" s="15" t="str">
        <x:v>In progress</x:v>
      </x:c>
      <x:c r="I373" s="15" t="str">
        <x:v>Web</x:v>
      </x:c>
      <x:c r="J373" s="16" t="d">
        <x:v>2026-09-30T00:00:00.000Z</x:v>
      </x:c>
      <x:c r="K373" s="15" t="str">
        <x:v>Checking account</x:v>
      </x:c>
      <x:c r="L373" s="15" t="str">
        <x:v>Cashing a check</x:v>
      </x:c>
      <x:c r="M373" s="15" t="str">
        <x:f>_xlfn.XLOOKUP(C373,'Lookups'!$A$7:$A$8,'Lookups'!$B$7:$B$8,"Unmapped",0)</x:f>
        <x:v>Deposit operations</x:v>
      </x:c>
      <x:c r="N373" s="14" t="n">
        <x:f>DATE(YEAR(B373),MONTH(B373),1)</x:f>
        <x:v>46266</x:v>
      </x:c>
    </x:row>
    <x:row r="374" ht="55" customHeight="1">
      <x:c r="A374" s="13" t="str">
        <x:v>28699109</x:v>
      </x:c>
      <x:c r="B374" s="14" t="d">
        <x:v>2026-09-30T00:00:00.000Z</x:v>
      </x:c>
      <x:c r="C374" s="15" t="str">
        <x:v>Checking or savings account</x:v>
      </x:c>
      <x:c r="D374" s="15" t="str">
        <x:v>Managing an account</x:v>
      </x:c>
      <x:c r="E374" s="15" t="str">
        <x:v>JPMORGAN CHASE &amp; CO.</x:v>
      </x:c>
      <x:c r="F374" s="15" t="str">
        <x:v>IL</x:v>
      </x:c>
      <x:c r="G374" s="15" t="str">
        <x:v>Yes</x:v>
      </x:c>
      <x:c r="H374" s="15" t="str">
        <x:v>Closed with monetary relief</x:v>
      </x:c>
      <x:c r="I374" s="15" t="str">
        <x:v>Web</x:v>
      </x:c>
      <x:c r="J374" s="16" t="d">
        <x:v>2026-09-30T00:00:00.000Z</x:v>
      </x:c>
      <x:c r="K374" s="15" t="str">
        <x:v>Checking account</x:v>
      </x:c>
      <x:c r="L374" s="15" t="str">
        <x:v>Problem using a debit or ATM card</x:v>
      </x:c>
      <x:c r="M374" s="15" t="str">
        <x:f>_xlfn.XLOOKUP(C374,'Lookups'!$A$7:$A$8,'Lookups'!$B$7:$B$8,"Unmapped",0)</x:f>
        <x:v>Deposit operations</x:v>
      </x:c>
      <x:c r="N374" s="14" t="n">
        <x:f>DATE(YEAR(B374),MONTH(B374),1)</x:f>
        <x:v>46266</x:v>
      </x:c>
    </x:row>
    <x:row r="375" ht="55" customHeight="1">
      <x:c r="A375" s="13" t="str">
        <x:v>28699310</x:v>
      </x:c>
      <x:c r="B375" s="14" t="d">
        <x:v>2026-09-30T00:00:00.000Z</x:v>
      </x:c>
      <x:c r="C375" s="15" t="str">
        <x:v>Credit card</x:v>
      </x:c>
      <x:c r="D375" s="15" t="str">
        <x:v>Problem with a purchase shown on your statement</x:v>
      </x:c>
      <x:c r="E375" s="15" t="str">
        <x:v>BARCLAYS BANK DELAWARE</x:v>
      </x:c>
      <x:c r="F375" s="15" t="str">
        <x:v>NJ</x:v>
      </x:c>
      <x:c r="G375" s="15" t="str">
        <x:v>Yes</x:v>
      </x:c>
      <x:c r="H375" s="15" t="str">
        <x:v>In progress</x:v>
      </x:c>
      <x:c r="I375" s="15" t="str">
        <x:v>Web</x:v>
      </x:c>
      <x:c r="J375" s="16" t="d">
        <x:v>2026-09-30T00:00:00.000Z</x:v>
      </x:c>
      <x:c r="K375" s="15" t="str">
        <x:v>General-purpose credit card or charge card</x:v>
      </x:c>
      <x:c r="L375" s="15" t="str">
        <x:v>Credit card company isn't resolving a dispute about a purchase on your statement</x:v>
      </x:c>
      <x:c r="M375" s="15" t="str">
        <x:f>_xlfn.XLOOKUP(C375,'Lookups'!$A$7:$A$8,'Lookups'!$B$7:$B$8,"Unmapped",0)</x:f>
        <x:v>Card operations</x:v>
      </x:c>
      <x:c r="N375" s="14" t="n">
        <x:f>DATE(YEAR(B375),MONTH(B375),1)</x:f>
        <x:v>46266</x:v>
      </x:c>
    </x:row>
    <x:row r="376" ht="55" customHeight="1">
      <x:c r="A376" s="13" t="str">
        <x:v>28699323</x:v>
      </x:c>
      <x:c r="B376" s="14" t="d">
        <x:v>2026-09-30T00:00:00.000Z</x:v>
      </x:c>
      <x:c r="C376" s="15" t="str">
        <x:v>Credit card</x:v>
      </x:c>
      <x:c r="D376" s="15" t="str">
        <x:v>Closing your account</x:v>
      </x:c>
      <x:c r="E376" s="15" t="str">
        <x:v>TRANSUNION INTERMEDIATE HOLDINGS, INC.</x:v>
      </x:c>
      <x:c r="F376" s="15" t="str">
        <x:v>FL</x:v>
      </x:c>
      <x:c r="G376" s="15" t="str">
        <x:v>Yes</x:v>
      </x:c>
      <x:c r="H376" s="15" t="str">
        <x:v>In progress</x:v>
      </x:c>
      <x:c r="I376" s="15" t="str">
        <x:v>Web</x:v>
      </x:c>
      <x:c r="J376" s="16" t="d">
        <x:v>2026-09-30T00:00:00.000Z</x:v>
      </x:c>
      <x:c r="K376" s="15" t="str">
        <x:v>General-purpose credit card or charge card</x:v>
      </x:c>
      <x:c r="L376" s="15" t="str">
        <x:v>Company closed your account</x:v>
      </x:c>
      <x:c r="M376" s="15" t="str">
        <x:f>_xlfn.XLOOKUP(C376,'Lookups'!$A$7:$A$8,'Lookups'!$B$7:$B$8,"Unmapped",0)</x:f>
        <x:v>Card operations</x:v>
      </x:c>
      <x:c r="N376" s="14" t="n">
        <x:f>DATE(YEAR(B376),MONTH(B376),1)</x:f>
        <x:v>46266</x:v>
      </x:c>
    </x:row>
    <x:row r="377" ht="55" customHeight="1">
      <x:c r="A377" s="13" t="str">
        <x:v>28699335</x:v>
      </x:c>
      <x:c r="B377" s="14" t="d">
        <x:v>2026-09-30T00:00:00.000Z</x:v>
      </x:c>
      <x:c r="C377" s="15" t="str">
        <x:v>Checking or savings account</x:v>
      </x:c>
      <x:c r="D377" s="15" t="str">
        <x:v>Closing an account</x:v>
      </x:c>
      <x:c r="E377" s="15" t="str">
        <x:v>TRUIST FINANCIAL CORPORATION</x:v>
      </x:c>
      <x:c r="F377" s="15" t="str">
        <x:v>FL</x:v>
      </x:c>
      <x:c r="G377" s="15" t="str">
        <x:v>Yes</x:v>
      </x:c>
      <x:c r="H377" s="15" t="str">
        <x:v>Closed with explanation</x:v>
      </x:c>
      <x:c r="I377" s="15" t="str">
        <x:v>Web</x:v>
      </x:c>
      <x:c r="J377" s="16" t="d">
        <x:v>2026-09-30T00:00:00.000Z</x:v>
      </x:c>
      <x:c r="K377" s="15" t="str">
        <x:v>Checking account</x:v>
      </x:c>
      <x:c r="L377" s="15" t="str">
        <x:v>Company closed your account</x:v>
      </x:c>
      <x:c r="M377" s="15" t="str">
        <x:f>_xlfn.XLOOKUP(C377,'Lookups'!$A$7:$A$8,'Lookups'!$B$7:$B$8,"Unmapped",0)</x:f>
        <x:v>Deposit operations</x:v>
      </x:c>
      <x:c r="N377" s="14" t="n">
        <x:f>DATE(YEAR(B377),MONTH(B377),1)</x:f>
        <x:v>46266</x:v>
      </x:c>
    </x:row>
    <x:row r="378" ht="55" customHeight="1">
      <x:c r="A378" s="13" t="str">
        <x:v>28700221</x:v>
      </x:c>
      <x:c r="B378" s="14" t="d">
        <x:v>2026-09-30T00:00:00.000Z</x:v>
      </x:c>
      <x:c r="C378" s="15" t="str">
        <x:v>Credit card</x:v>
      </x:c>
      <x:c r="D378" s="15" t="str">
        <x:v>Problem when making payments</x:v>
      </x:c>
      <x:c r="E378" s="15" t="str">
        <x:v>SYNCHRONY FINANCIAL</x:v>
      </x:c>
      <x:c r="F378" s="15" t="str">
        <x:v>FL</x:v>
      </x:c>
      <x:c r="G378" s="15" t="str">
        <x:v>Yes</x:v>
      </x:c>
      <x:c r="H378" s="15" t="str">
        <x:v>In progress</x:v>
      </x:c>
      <x:c r="I378" s="15" t="str">
        <x:v>Web</x:v>
      </x:c>
      <x:c r="J378" s="16" t="d">
        <x:v>2026-09-30T00:00:00.000Z</x:v>
      </x:c>
      <x:c r="K378" s="15" t="str">
        <x:v>Store credit card</x:v>
      </x:c>
      <x:c r="L378" s="15" t="str">
        <x:v>You never received your bill or did not know a payment was due</x:v>
      </x:c>
      <x:c r="M378" s="15" t="str">
        <x:f>_xlfn.XLOOKUP(C378,'Lookups'!$A$7:$A$8,'Lookups'!$B$7:$B$8,"Unmapped",0)</x:f>
        <x:v>Card operations</x:v>
      </x:c>
      <x:c r="N378" s="14" t="n">
        <x:f>DATE(YEAR(B378),MONTH(B378),1)</x:f>
        <x:v>46266</x:v>
      </x:c>
    </x:row>
    <x:row r="379" ht="55" customHeight="1">
      <x:c r="A379" s="13" t="str">
        <x:v>28700262</x:v>
      </x:c>
      <x:c r="B379" s="14" t="d">
        <x:v>2026-09-30T00:00:00.000Z</x:v>
      </x:c>
      <x:c r="C379" s="15" t="str">
        <x:v>Credit card</x:v>
      </x:c>
      <x:c r="D379" s="15" t="str">
        <x:v>Incorrect information on your report</x:v>
      </x:c>
      <x:c r="E379" s="15" t="str">
        <x:v>JPMORGAN CHASE &amp; CO.</x:v>
      </x:c>
      <x:c r="F379" s="15" t="str">
        <x:v>PR</x:v>
      </x:c>
      <x:c r="G379" s="15" t="str">
        <x:v>Yes</x:v>
      </x:c>
      <x:c r="H379" s="15" t="str">
        <x:v>In progress</x:v>
      </x:c>
      <x:c r="I379" s="15" t="str">
        <x:v>Web</x:v>
      </x:c>
      <x:c r="J379" s="16" t="d">
        <x:v>2026-09-30T00:00:00.000Z</x:v>
      </x:c>
      <x:c r="K379" s="15" t="str">
        <x:v>General-purpose credit card or charge card</x:v>
      </x:c>
      <x:c r="L379" s="15" t="str">
        <x:v>Account information incorrect</x:v>
      </x:c>
      <x:c r="M379" s="15" t="str">
        <x:f>_xlfn.XLOOKUP(C379,'Lookups'!$A$7:$A$8,'Lookups'!$B$7:$B$8,"Unmapped",0)</x:f>
        <x:v>Card operations</x:v>
      </x:c>
      <x:c r="N379" s="14" t="n">
        <x:f>DATE(YEAR(B379),MONTH(B379),1)</x:f>
        <x:v>46266</x:v>
      </x:c>
    </x:row>
    <x:row r="380" ht="55" customHeight="1">
      <x:c r="A380" s="13" t="str">
        <x:v>28700323</x:v>
      </x:c>
      <x:c r="B380" s="14" t="d">
        <x:v>2026-09-30T00:00:00.000Z</x:v>
      </x:c>
      <x:c r="C380" s="15" t="str">
        <x:v>Checking or savings account</x:v>
      </x:c>
      <x:c r="D380" s="15" t="str">
        <x:v>Closing an account</x:v>
      </x:c>
      <x:c r="E380" s="15" t="str">
        <x:v>JPMORGAN CHASE &amp; CO.</x:v>
      </x:c>
      <x:c r="F380" s="15" t="str">
        <x:v>CA</x:v>
      </x:c>
      <x:c r="G380" s="15" t="str">
        <x:v>Yes</x:v>
      </x:c>
      <x:c r="H380" s="15" t="str">
        <x:v>Closed with monetary relief</x:v>
      </x:c>
      <x:c r="I380" s="15" t="str">
        <x:v>Web</x:v>
      </x:c>
      <x:c r="J380" s="16" t="d">
        <x:v>2026-09-30T00:00:00.000Z</x:v>
      </x:c>
      <x:c r="K380" s="15" t="str">
        <x:v>Checking account</x:v>
      </x:c>
      <x:c r="L380" s="15" t="str">
        <x:v>Funds not received from closed account</x:v>
      </x:c>
      <x:c r="M380" s="15" t="str">
        <x:f>_xlfn.XLOOKUP(C380,'Lookups'!$A$7:$A$8,'Lookups'!$B$7:$B$8,"Unmapped",0)</x:f>
        <x:v>Deposit operations</x:v>
      </x:c>
      <x:c r="N380" s="14" t="n">
        <x:f>DATE(YEAR(B380),MONTH(B380),1)</x:f>
        <x:v>46266</x:v>
      </x:c>
    </x:row>
    <x:row r="381" ht="55" customHeight="1">
      <x:c r="A381" s="13" t="str">
        <x:v>28700340</x:v>
      </x:c>
      <x:c r="B381" s="14" t="d">
        <x:v>2026-09-30T00:00:00.000Z</x:v>
      </x:c>
      <x:c r="C381" s="15" t="str">
        <x:v>Credit card</x:v>
      </x:c>
      <x:c r="D381" s="15" t="str">
        <x:v>Incorrect information on your report</x:v>
      </x:c>
      <x:c r="E381" s="15" t="str">
        <x:v>CITIBANK, N.A.</x:v>
      </x:c>
      <x:c r="F381" s="15" t="str">
        <x:v>CA</x:v>
      </x:c>
      <x:c r="G381" s="15" t="str">
        <x:v>Yes</x:v>
      </x:c>
      <x:c r="H381" s="15" t="str">
        <x:v>Closed with non-monetary relief</x:v>
      </x:c>
      <x:c r="I381" s="15" t="str">
        <x:v>Referral</x:v>
      </x:c>
      <x:c r="J381" s="16" t="d">
        <x:v>2026-09-30T00:00:00.000Z</x:v>
      </x:c>
      <x:c r="K381" s="15" t="str">
        <x:v>General-purpose credit card or charge card</x:v>
      </x:c>
      <x:c r="L381" s="15" t="str">
        <x:v>Account status incorrect</x:v>
      </x:c>
      <x:c r="M381" s="15" t="str">
        <x:f>_xlfn.XLOOKUP(C381,'Lookups'!$A$7:$A$8,'Lookups'!$B$7:$B$8,"Unmapped",0)</x:f>
        <x:v>Card operations</x:v>
      </x:c>
      <x:c r="N381" s="14" t="n">
        <x:f>DATE(YEAR(B381),MONTH(B381),1)</x:f>
        <x:v>46266</x:v>
      </x:c>
    </x:row>
    <x:row r="382" ht="55" customHeight="1">
      <x:c r="A382" s="13" t="str">
        <x:v>28700405</x:v>
      </x:c>
      <x:c r="B382" s="14" t="d">
        <x:v>2026-09-30T00:00:00.000Z</x:v>
      </x:c>
      <x:c r="C382" s="15" t="str">
        <x:v>Credit card</x:v>
      </x:c>
      <x:c r="D382" s="15" t="str">
        <x:v>Other features, terms, or problems</x:v>
      </x:c>
      <x:c r="E382" s="15" t="str">
        <x:v>Block, Inc.</x:v>
      </x:c>
      <x:c r="F382" s="15" t="str">
        <x:v>GA</x:v>
      </x:c>
      <x:c r="G382" s="15" t="str">
        <x:v>Yes</x:v>
      </x:c>
      <x:c r="H382" s="15" t="str">
        <x:v>In progress</x:v>
      </x:c>
      <x:c r="I382" s="15" t="str">
        <x:v>Web</x:v>
      </x:c>
      <x:c r="J382" s="16" t="d">
        <x:v>2026-09-30T00:00:00.000Z</x:v>
      </x:c>
      <x:c r="K382" s="15" t="str">
        <x:v>Store credit card</x:v>
      </x:c>
      <x:c r="L382" s="15" t="str">
        <x:v>Problem with customer service</x:v>
      </x:c>
      <x:c r="M382" s="15" t="str">
        <x:f>_xlfn.XLOOKUP(C382,'Lookups'!$A$7:$A$8,'Lookups'!$B$7:$B$8,"Unmapped",0)</x:f>
        <x:v>Card operations</x:v>
      </x:c>
      <x:c r="N382" s="14" t="n">
        <x:f>DATE(YEAR(B382),MONTH(B382),1)</x:f>
        <x:v>46266</x:v>
      </x:c>
    </x:row>
    <x:row r="383" ht="55" customHeight="1">
      <x:c r="A383" s="13" t="str">
        <x:v>28700411</x:v>
      </x:c>
      <x:c r="B383" s="14" t="d">
        <x:v>2026-09-30T00:00:00.000Z</x:v>
      </x:c>
      <x:c r="C383" s="15" t="str">
        <x:v>Credit card</x:v>
      </x:c>
      <x:c r="D383" s="15" t="str">
        <x:v>Problem when making payments</x:v>
      </x:c>
      <x:c r="E383" s="15" t="str">
        <x:v>SYNCHRONY FINANCIAL</x:v>
      </x:c>
      <x:c r="F383" s="15" t="str">
        <x:v>FL</x:v>
      </x:c>
      <x:c r="G383" s="15" t="str">
        <x:v>Yes</x:v>
      </x:c>
      <x:c r="H383" s="15" t="str">
        <x:v>In progress</x:v>
      </x:c>
      <x:c r="I383" s="15" t="str">
        <x:v>Web</x:v>
      </x:c>
      <x:c r="J383" s="16" t="d">
        <x:v>2026-09-30T00:00:00.000Z</x:v>
      </x:c>
      <x:c r="K383" s="15" t="str">
        <x:v>Store credit card</x:v>
      </x:c>
      <x:c r="L383" s="15" t="str">
        <x:v>You never received your bill or did not know a payment was due</x:v>
      </x:c>
      <x:c r="M383" s="15" t="str">
        <x:f>_xlfn.XLOOKUP(C383,'Lookups'!$A$7:$A$8,'Lookups'!$B$7:$B$8,"Unmapped",0)</x:f>
        <x:v>Card operations</x:v>
      </x:c>
      <x:c r="N383" s="14" t="n">
        <x:f>DATE(YEAR(B383),MONTH(B383),1)</x:f>
        <x:v>46266</x:v>
      </x:c>
    </x:row>
    <x:row r="384" ht="55" customHeight="1">
      <x:c r="A384" s="13" t="str">
        <x:v>28700440</x:v>
      </x:c>
      <x:c r="B384" s="14" t="d">
        <x:v>2026-09-30T00:00:00.000Z</x:v>
      </x:c>
      <x:c r="C384" s="15" t="str">
        <x:v>Checking or savings account</x:v>
      </x:c>
      <x:c r="D384" s="15" t="str">
        <x:v>Opening an account</x:v>
      </x:c>
      <x:c r="E384" s="15" t="str">
        <x:v>JPMORGAN CHASE &amp; CO.</x:v>
      </x:c>
      <x:c r="F384" s="15" t="str">
        <x:v>MO</x:v>
      </x:c>
      <x:c r="G384" s="15" t="str">
        <x:v>Yes</x:v>
      </x:c>
      <x:c r="H384" s="15" t="str">
        <x:v>Closed with explanation</x:v>
      </x:c>
      <x:c r="I384" s="15" t="str">
        <x:v>Web</x:v>
      </x:c>
      <x:c r="J384" s="16" t="d">
        <x:v>2026-09-30T00:00:00.000Z</x:v>
      </x:c>
      <x:c r="K384" s="15" t="str">
        <x:v>Checking account</x:v>
      </x:c>
      <x:c r="L384" s="15" t="str">
        <x:v>Account opened without my consent or knowledge</x:v>
      </x:c>
      <x:c r="M384" s="15" t="str">
        <x:f>_xlfn.XLOOKUP(C384,'Lookups'!$A$7:$A$8,'Lookups'!$B$7:$B$8,"Unmapped",0)</x:f>
        <x:v>Deposit operations</x:v>
      </x:c>
      <x:c r="N384" s="14" t="n">
        <x:f>DATE(YEAR(B384),MONTH(B384),1)</x:f>
        <x:v>46266</x:v>
      </x:c>
    </x:row>
    <x:row r="385" ht="55" customHeight="1">
      <x:c r="A385" s="13" t="str">
        <x:v>28700542</x:v>
      </x:c>
      <x:c r="B385" s="14" t="d">
        <x:v>2026-09-30T00:00:00.000Z</x:v>
      </x:c>
      <x:c r="C385" s="15" t="str">
        <x:v>Credit card</x:v>
      </x:c>
      <x:c r="D385" s="15" t="str">
        <x:v>Incorrect information on your report</x:v>
      </x:c>
      <x:c r="E385" s="15" t="str">
        <x:v>AMERICAN EXPRESS COMPANY</x:v>
      </x:c>
      <x:c r="F385" s="15" t="str">
        <x:v>NJ</x:v>
      </x:c>
      <x:c r="G385" s="15" t="str">
        <x:v>Yes</x:v>
      </x:c>
      <x:c r="H385" s="15" t="str">
        <x:v>Closed with explanation</x:v>
      </x:c>
      <x:c r="I385" s="15" t="str">
        <x:v>Web</x:v>
      </x:c>
      <x:c r="J385" s="16" t="d">
        <x:v>2026-09-30T00:00:00.000Z</x:v>
      </x:c>
      <x:c r="K385" s="15" t="str">
        <x:v>General-purpose credit card or charge card</x:v>
      </x:c>
      <x:c r="L385" s="15" t="str">
        <x:v>Account information incorrect</x:v>
      </x:c>
      <x:c r="M385" s="15" t="str">
        <x:f>_xlfn.XLOOKUP(C385,'Lookups'!$A$7:$A$8,'Lookups'!$B$7:$B$8,"Unmapped",0)</x:f>
        <x:v>Card operations</x:v>
      </x:c>
      <x:c r="N385" s="14" t="n">
        <x:f>DATE(YEAR(B385),MONTH(B385),1)</x:f>
        <x:v>46266</x:v>
      </x:c>
    </x:row>
    <x:row r="386" ht="55" customHeight="1">
      <x:c r="A386" s="13" t="str">
        <x:v>28700595</x:v>
      </x:c>
      <x:c r="B386" s="14" t="d">
        <x:v>2026-09-30T00:00:00.000Z</x:v>
      </x:c>
      <x:c r="C386" s="15" t="str">
        <x:v>Credit card</x:v>
      </x:c>
      <x:c r="D386" s="15" t="str">
        <x:v>Problem when making payments</x:v>
      </x:c>
      <x:c r="E386" s="15" t="str">
        <x:v>SYNCHRONY FINANCIAL</x:v>
      </x:c>
      <x:c r="F386" s="15" t="str">
        <x:v>FL</x:v>
      </x:c>
      <x:c r="G386" s="15" t="str">
        <x:v>Yes</x:v>
      </x:c>
      <x:c r="H386" s="15" t="str">
        <x:v>Closed with explanation</x:v>
      </x:c>
      <x:c r="I386" s="15" t="str">
        <x:v>Web</x:v>
      </x:c>
      <x:c r="J386" s="16" t="d">
        <x:v>2026-09-30T00:00:00.000Z</x:v>
      </x:c>
      <x:c r="K386" s="15" t="str">
        <x:v>Store credit card</x:v>
      </x:c>
      <x:c r="L386" s="15" t="str">
        <x:v>You never received your bill or did not know a payment was due</x:v>
      </x:c>
      <x:c r="M386" s="15" t="str">
        <x:f>_xlfn.XLOOKUP(C386,'Lookups'!$A$7:$A$8,'Lookups'!$B$7:$B$8,"Unmapped",0)</x:f>
        <x:v>Card operations</x:v>
      </x:c>
      <x:c r="N386" s="14" t="n">
        <x:f>DATE(YEAR(B386),MONTH(B386),1)</x:f>
        <x:v>46266</x:v>
      </x:c>
    </x:row>
    <x:row r="387" ht="55" customHeight="1">
      <x:c r="A387" s="13" t="str">
        <x:v>28700677</x:v>
      </x:c>
      <x:c r="B387" s="14" t="d">
        <x:v>2026-09-30T00:00:00.000Z</x:v>
      </x:c>
      <x:c r="C387" s="15" t="str">
        <x:v>Credit card</x:v>
      </x:c>
      <x:c r="D387" s="15" t="str">
        <x:v>Problem with a purchase shown on your statement</x:v>
      </x:c>
      <x:c r="E387" s="15" t="str">
        <x:v>TD BANK US HOLDING COMPANY</x:v>
      </x:c>
      <x:c r="F387" s="15" t="str">
        <x:v>PA</x:v>
      </x:c>
      <x:c r="G387" s="15" t="str">
        <x:v>Yes</x:v>
      </x:c>
      <x:c r="H387" s="15" t="str">
        <x:v>Closed with monetary relief</x:v>
      </x:c>
      <x:c r="I387" s="15" t="str">
        <x:v>Web</x:v>
      </x:c>
      <x:c r="J387" s="16" t="d">
        <x:v>2026-09-30T00:00:00.000Z</x:v>
      </x:c>
      <x:c r="K387" s="15" t="str">
        <x:v>General-purpose credit card or charge card</x:v>
      </x:c>
      <x:c r="L387" s="15" t="str">
        <x:v>Credit card company isn't resolving a dispute about a purchase on your statement</x:v>
      </x:c>
      <x:c r="M387" s="15" t="str">
        <x:f>_xlfn.XLOOKUP(C387,'Lookups'!$A$7:$A$8,'Lookups'!$B$7:$B$8,"Unmapped",0)</x:f>
        <x:v>Card operations</x:v>
      </x:c>
      <x:c r="N387" s="14" t="n">
        <x:f>DATE(YEAR(B387),MONTH(B387),1)</x:f>
        <x:v>46266</x:v>
      </x:c>
    </x:row>
    <x:row r="388" ht="55" customHeight="1">
      <x:c r="A388" s="13" t="str">
        <x:v>28700688</x:v>
      </x:c>
      <x:c r="B388" s="14" t="d">
        <x:v>2026-09-30T00:00:00.000Z</x:v>
      </x:c>
      <x:c r="C388" s="15" t="str">
        <x:v>Credit card</x:v>
      </x:c>
      <x:c r="D388" s="15" t="str">
        <x:v>Closing your account</x:v>
      </x:c>
      <x:c r="E388" s="15" t="str">
        <x:v>BANK OF AMERICA, NATIONAL ASSOCIATION</x:v>
      </x:c>
      <x:c r="F388" s="15" t="str">
        <x:v>NY</x:v>
      </x:c>
      <x:c r="G388" s="15" t="str">
        <x:v>Yes</x:v>
      </x:c>
      <x:c r="H388" s="15" t="str">
        <x:v>In progress</x:v>
      </x:c>
      <x:c r="I388" s="15" t="str">
        <x:v>Web</x:v>
      </x:c>
      <x:c r="J388" s="16" t="d">
        <x:v>2026-09-30T00:00:00.000Z</x:v>
      </x:c>
      <x:c r="K388" s="15" t="str">
        <x:v>General-purpose credit card or charge card</x:v>
      </x:c>
      <x:c r="L388" s="15" t="str">
        <x:v>Company closed your account</x:v>
      </x:c>
      <x:c r="M388" s="15" t="str">
        <x:f>_xlfn.XLOOKUP(C388,'Lookups'!$A$7:$A$8,'Lookups'!$B$7:$B$8,"Unmapped",0)</x:f>
        <x:v>Card operations</x:v>
      </x:c>
      <x:c r="N388" s="14" t="n">
        <x:f>DATE(YEAR(B388),MONTH(B388),1)</x:f>
        <x:v>46266</x:v>
      </x:c>
    </x:row>
    <x:row r="389" ht="55" customHeight="1">
      <x:c r="A389" s="13" t="str">
        <x:v>28700730</x:v>
      </x:c>
      <x:c r="B389" s="14" t="d">
        <x:v>2026-09-30T00:00:00.000Z</x:v>
      </x:c>
      <x:c r="C389" s="15" t="str">
        <x:v>Checking or savings account</x:v>
      </x:c>
      <x:c r="D389" s="15" t="str">
        <x:v>Managing an account</x:v>
      </x:c>
      <x:c r="E389" s="15" t="str">
        <x:v>Block, Inc.</x:v>
      </x:c>
      <x:c r="F389" s="15" t="str">
        <x:v>MO</x:v>
      </x:c>
      <x:c r="G389" s="15" t="str">
        <x:v>Yes</x:v>
      </x:c>
      <x:c r="H389" s="15" t="str">
        <x:v>Closed with explanation</x:v>
      </x:c>
      <x:c r="I389" s="15" t="str">
        <x:v>Web</x:v>
      </x:c>
      <x:c r="J389" s="16" t="d">
        <x:v>2026-09-30T00:00:00.000Z</x:v>
      </x:c>
      <x:c r="K389" s="15" t="str">
        <x:v>Checking account</x:v>
      </x:c>
      <x:c r="L389" s="15" t="str">
        <x:v>Banking errors</x:v>
      </x:c>
      <x:c r="M389" s="15" t="str">
        <x:f>_xlfn.XLOOKUP(C389,'Lookups'!$A$7:$A$8,'Lookups'!$B$7:$B$8,"Unmapped",0)</x:f>
        <x:v>Deposit operations</x:v>
      </x:c>
      <x:c r="N389" s="14" t="n">
        <x:f>DATE(YEAR(B389),MONTH(B389),1)</x:f>
        <x:v>46266</x:v>
      </x:c>
    </x:row>
    <x:row r="390" ht="55" customHeight="1">
      <x:c r="A390" s="13" t="str">
        <x:v>28700752</x:v>
      </x:c>
      <x:c r="B390" s="14" t="d">
        <x:v>2026-09-30T00:00:00.000Z</x:v>
      </x:c>
      <x:c r="C390" s="15" t="str">
        <x:v>Credit card</x:v>
      </x:c>
      <x:c r="D390" s="15" t="str">
        <x:v>Problem with a purchase shown on your statement</x:v>
      </x:c>
      <x:c r="E390" s="15" t="str">
        <x:v>CAPITAL ONE FINANCIAL CORPORATION</x:v>
      </x:c>
      <x:c r="F390" s="15" t="str">
        <x:v>PA</x:v>
      </x:c>
      <x:c r="G390" s="15" t="str">
        <x:v>Yes</x:v>
      </x:c>
      <x:c r="H390" s="15" t="str">
        <x:v>Closed with explanation</x:v>
      </x:c>
      <x:c r="I390" s="15" t="str">
        <x:v>Web</x:v>
      </x:c>
      <x:c r="J390" s="16" t="d">
        <x:v>2026-09-30T00:00:00.000Z</x:v>
      </x:c>
      <x:c r="K390" s="15" t="str">
        <x:v>General-purpose credit card or charge card</x:v>
      </x:c>
      <x:c r="L390" s="15" t="str">
        <x:v>Credit card company isn't resolving a dispute about a purchase on your statement</x:v>
      </x:c>
      <x:c r="M390" s="15" t="str">
        <x:f>_xlfn.XLOOKUP(C390,'Lookups'!$A$7:$A$8,'Lookups'!$B$7:$B$8,"Unmapped",0)</x:f>
        <x:v>Card operations</x:v>
      </x:c>
      <x:c r="N390" s="14" t="n">
        <x:f>DATE(YEAR(B390),MONTH(B390),1)</x:f>
        <x:v>46266</x:v>
      </x:c>
    </x:row>
    <x:row r="391" ht="55" customHeight="1">
      <x:c r="A391" s="13" t="str">
        <x:v>28700844</x:v>
      </x:c>
      <x:c r="B391" s="14" t="d">
        <x:v>2026-09-30T00:00:00.000Z</x:v>
      </x:c>
      <x:c r="C391" s="15" t="str">
        <x:v>Credit card</x:v>
      </x:c>
      <x:c r="D391" s="15" t="str">
        <x:v>Incorrect information on your report</x:v>
      </x:c>
      <x:c r="E391" s="15" t="str">
        <x:v>CAPITAL ONE FINANCIAL CORPORATION</x:v>
      </x:c>
      <x:c r="F391" s="15" t="str">
        <x:v>NJ</x:v>
      </x:c>
      <x:c r="G391" s="15" t="str">
        <x:v>Yes</x:v>
      </x:c>
      <x:c r="H391" s="15" t="str">
        <x:v>In progress</x:v>
      </x:c>
      <x:c r="I391" s="15" t="str">
        <x:v>Web</x:v>
      </x:c>
      <x:c r="J391" s="16" t="d">
        <x:v>2026-09-30T00:00:00.000Z</x:v>
      </x:c>
      <x:c r="K391" s="15" t="str">
        <x:v>General-purpose credit card or charge card</x:v>
      </x:c>
      <x:c r="L391" s="15" t="str">
        <x:v>Account information incorrect</x:v>
      </x:c>
      <x:c r="M391" s="15" t="str">
        <x:f>_xlfn.XLOOKUP(C391,'Lookups'!$A$7:$A$8,'Lookups'!$B$7:$B$8,"Unmapped",0)</x:f>
        <x:v>Card operations</x:v>
      </x:c>
      <x:c r="N391" s="14" t="n">
        <x:f>DATE(YEAR(B391),MONTH(B391),1)</x:f>
        <x:v>46266</x:v>
      </x:c>
    </x:row>
    <x:row r="392" ht="55" customHeight="1">
      <x:c r="A392" s="13" t="str">
        <x:v>28701065</x:v>
      </x:c>
      <x:c r="B392" s="14" t="d">
        <x:v>2026-09-30T00:00:00.000Z</x:v>
      </x:c>
      <x:c r="C392" s="15" t="str">
        <x:v>Checking or savings account</x:v>
      </x:c>
      <x:c r="D392" s="15" t="str">
        <x:v>Managing an account</x:v>
      </x:c>
      <x:c r="E392" s="15" t="str">
        <x:v>Paypal Holdings, Inc</x:v>
      </x:c>
      <x:c r="F392" s="15" t="str">
        <x:v>NE</x:v>
      </x:c>
      <x:c r="G392" s="15" t="str">
        <x:v>Yes</x:v>
      </x:c>
      <x:c r="H392" s="15" t="str">
        <x:v>In progress</x:v>
      </x:c>
      <x:c r="I392" s="15" t="str">
        <x:v>Web</x:v>
      </x:c>
      <x:c r="J392" s="16" t="d">
        <x:v>2026-09-30T00:00:00.000Z</x:v>
      </x:c>
      <x:c r="K392" s="15" t="str">
        <x:v>Other banking product or service</x:v>
      </x:c>
      <x:c r="L392" s="15" t="str">
        <x:v>Problem accessing account</x:v>
      </x:c>
      <x:c r="M392" s="15" t="str">
        <x:f>_xlfn.XLOOKUP(C392,'Lookups'!$A$7:$A$8,'Lookups'!$B$7:$B$8,"Unmapped",0)</x:f>
        <x:v>Deposit operations</x:v>
      </x:c>
      <x:c r="N392" s="14" t="n">
        <x:f>DATE(YEAR(B392),MONTH(B392),1)</x:f>
        <x:v>46266</x:v>
      </x:c>
    </x:row>
    <x:row r="393" ht="55" customHeight="1">
      <x:c r="A393" s="13" t="str">
        <x:v>28701104</x:v>
      </x:c>
      <x:c r="B393" s="14" t="d">
        <x:v>2026-09-30T00:00:00.000Z</x:v>
      </x:c>
      <x:c r="C393" s="15" t="str">
        <x:v>Credit card</x:v>
      </x:c>
      <x:c r="D393" s="15" t="str">
        <x:v>Problem with a purchase shown on your statement</x:v>
      </x:c>
      <x:c r="E393" s="15" t="str">
        <x:v>AMERICAN EXPRESS COMPANY</x:v>
      </x:c>
      <x:c r="F393" s="15" t="str">
        <x:v>CA</x:v>
      </x:c>
      <x:c r="G393" s="15" t="str">
        <x:v>Yes</x:v>
      </x:c>
      <x:c r="H393" s="15" t="str">
        <x:v>Closed with explanation</x:v>
      </x:c>
      <x:c r="I393" s="15" t="str">
        <x:v>Phone</x:v>
      </x:c>
      <x:c r="J393" s="16" t="d">
        <x:v>2026-09-30T00:00:00.000Z</x:v>
      </x:c>
      <x:c r="K393" s="15" t="str">
        <x:v>General-purpose credit card or charge card</x:v>
      </x:c>
      <x:c r="L393" s="15" t="str">
        <x:v>Credit card company isn't resolving a dispute about a purchase on your statement</x:v>
      </x:c>
      <x:c r="M393" s="15" t="str">
        <x:f>_xlfn.XLOOKUP(C393,'Lookups'!$A$7:$A$8,'Lookups'!$B$7:$B$8,"Unmapped",0)</x:f>
        <x:v>Card operations</x:v>
      </x:c>
      <x:c r="N393" s="14" t="n">
        <x:f>DATE(YEAR(B393),MONTH(B393),1)</x:f>
        <x:v>46266</x:v>
      </x:c>
    </x:row>
    <x:row r="394" ht="55" customHeight="1">
      <x:c r="A394" s="13" t="str">
        <x:v>28701163</x:v>
      </x:c>
      <x:c r="B394" s="14" t="d">
        <x:v>2026-09-30T00:00:00.000Z</x:v>
      </x:c>
      <x:c r="C394" s="15" t="str">
        <x:v>Credit card</x:v>
      </x:c>
      <x:c r="D394" s="15" t="str">
        <x:v>Problem with a purchase shown on your statement</x:v>
      </x:c>
      <x:c r="E394" s="15" t="str">
        <x:v>TD BANK US HOLDING COMPANY</x:v>
      </x:c>
      <x:c r="F394" s="15" t="str">
        <x:v>TX</x:v>
      </x:c>
      <x:c r="G394" s="15" t="str">
        <x:v>Yes</x:v>
      </x:c>
      <x:c r="H394" s="15" t="str">
        <x:v>Closed with explanation</x:v>
      </x:c>
      <x:c r="I394" s="15" t="str">
        <x:v>Web</x:v>
      </x:c>
      <x:c r="J394" s="16" t="d">
        <x:v>2026-09-30T00:00:00.000Z</x:v>
      </x:c>
      <x:c r="K394" s="15" t="str">
        <x:v>General-purpose credit card or charge card</x:v>
      </x:c>
      <x:c r="L394" s="15" t="str">
        <x:v>Credit card company isn't resolving a dispute about a purchase on your statement</x:v>
      </x:c>
      <x:c r="M394" s="15" t="str">
        <x:f>_xlfn.XLOOKUP(C394,'Lookups'!$A$7:$A$8,'Lookups'!$B$7:$B$8,"Unmapped",0)</x:f>
        <x:v>Card operations</x:v>
      </x:c>
      <x:c r="N394" s="14" t="n">
        <x:f>DATE(YEAR(B394),MONTH(B394),1)</x:f>
        <x:v>46266</x:v>
      </x:c>
    </x:row>
    <x:row r="395" ht="55" customHeight="1">
      <x:c r="A395" s="13" t="str">
        <x:v>28701186</x:v>
      </x:c>
      <x:c r="B395" s="14" t="d">
        <x:v>2026-09-30T00:00:00.000Z</x:v>
      </x:c>
      <x:c r="C395" s="15" t="str">
        <x:v>Credit card</x:v>
      </x:c>
      <x:c r="D395" s="15" t="str">
        <x:v>Closing your account</x:v>
      </x:c>
      <x:c r="E395" s="15" t="str">
        <x:v>CITIBANK, N.A.</x:v>
      </x:c>
      <x:c r="F395" s="15" t="str">
        <x:v>MD</x:v>
      </x:c>
      <x:c r="G395" s="15" t="str">
        <x:v>Yes</x:v>
      </x:c>
      <x:c r="H395" s="15" t="str">
        <x:v>Closed with explanation</x:v>
      </x:c>
      <x:c r="I395" s="15" t="str">
        <x:v>Web</x:v>
      </x:c>
      <x:c r="J395" s="16" t="d">
        <x:v>2026-09-30T00:00:00.000Z</x:v>
      </x:c>
      <x:c r="K395" s="15" t="str">
        <x:v>General-purpose credit card or charge card</x:v>
      </x:c>
      <x:c r="L395" s="15" t="str">
        <x:v>Company closed your account</x:v>
      </x:c>
      <x:c r="M395" s="15" t="str">
        <x:f>_xlfn.XLOOKUP(C395,'Lookups'!$A$7:$A$8,'Lookups'!$B$7:$B$8,"Unmapped",0)</x:f>
        <x:v>Card operations</x:v>
      </x:c>
      <x:c r="N395" s="14" t="n">
        <x:f>DATE(YEAR(B395),MONTH(B395),1)</x:f>
        <x:v>46266</x:v>
      </x:c>
    </x:row>
    <x:row r="396" ht="55" customHeight="1">
      <x:c r="A396" s="13" t="str">
        <x:v>28701308</x:v>
      </x:c>
      <x:c r="B396" s="14" t="d">
        <x:v>2026-09-30T00:00:00.000Z</x:v>
      </x:c>
      <x:c r="C396" s="15" t="str">
        <x:v>Checking or savings account</x:v>
      </x:c>
      <x:c r="D396" s="15" t="str">
        <x:v>Closing an account</x:v>
      </x:c>
      <x:c r="E396" s="15" t="str">
        <x:v>SOFI TECHNOLOGIES, INC.</x:v>
      </x:c>
      <x:c r="F396" s="15" t="str">
        <x:v>TX</x:v>
      </x:c>
      <x:c r="G396" s="15" t="str">
        <x:v>Yes</x:v>
      </x:c>
      <x:c r="H396" s="15" t="str">
        <x:v>Closed with explanation</x:v>
      </x:c>
      <x:c r="I396" s="15" t="str">
        <x:v>Web</x:v>
      </x:c>
      <x:c r="J396" s="16" t="d">
        <x:v>2026-09-30T00:00:00.000Z</x:v>
      </x:c>
      <x:c r="K396" s="15" t="str">
        <x:v>Checking account</x:v>
      </x:c>
      <x:c r="L396" s="15" t="str">
        <x:v>Company closed your account</x:v>
      </x:c>
      <x:c r="M396" s="15" t="str">
        <x:f>_xlfn.XLOOKUP(C396,'Lookups'!$A$7:$A$8,'Lookups'!$B$7:$B$8,"Unmapped",0)</x:f>
        <x:v>Deposit operations</x:v>
      </x:c>
      <x:c r="N396" s="14" t="n">
        <x:f>DATE(YEAR(B396),MONTH(B396),1)</x:f>
        <x:v>46266</x:v>
      </x:c>
    </x:row>
    <x:row r="397" ht="55" customHeight="1">
      <x:c r="A397" s="13" t="str">
        <x:v>28701394</x:v>
      </x:c>
      <x:c r="B397" s="14" t="d">
        <x:v>2026-09-30T00:00:00.000Z</x:v>
      </x:c>
      <x:c r="C397" s="15" t="str">
        <x:v>Checking or savings account</x:v>
      </x:c>
      <x:c r="D397" s="15" t="str">
        <x:v>Closing an account</x:v>
      </x:c>
      <x:c r="E397" s="15" t="str">
        <x:v>SOFI TECHNOLOGIES, INC.</x:v>
      </x:c>
      <x:c r="F397" s="15" t="str">
        <x:v>OR</x:v>
      </x:c>
      <x:c r="G397" s="15" t="str">
        <x:v>Yes</x:v>
      </x:c>
      <x:c r="H397" s="15" t="str">
        <x:v>Closed with explanation</x:v>
      </x:c>
      <x:c r="I397" s="15" t="str">
        <x:v>Web</x:v>
      </x:c>
      <x:c r="J397" s="16" t="d">
        <x:v>2026-09-30T00:00:00.000Z</x:v>
      </x:c>
      <x:c r="K397" s="15" t="str">
        <x:v>Checking account</x:v>
      </x:c>
      <x:c r="L397" s="15" t="str">
        <x:v>Company closed your account</x:v>
      </x:c>
      <x:c r="M397" s="15" t="str">
        <x:f>_xlfn.XLOOKUP(C397,'Lookups'!$A$7:$A$8,'Lookups'!$B$7:$B$8,"Unmapped",0)</x:f>
        <x:v>Deposit operations</x:v>
      </x:c>
      <x:c r="N397" s="14" t="n">
        <x:f>DATE(YEAR(B397),MONTH(B397),1)</x:f>
        <x:v>46266</x:v>
      </x:c>
    </x:row>
    <x:row r="398" ht="55" customHeight="1">
      <x:c r="A398" s="13" t="str">
        <x:v>28701409</x:v>
      </x:c>
      <x:c r="B398" s="14" t="d">
        <x:v>2026-09-30T00:00:00.000Z</x:v>
      </x:c>
      <x:c r="C398" s="15" t="str">
        <x:v>Checking or savings account</x:v>
      </x:c>
      <x:c r="D398" s="15" t="str">
        <x:v>Problem with a lender or other company charging your account</x:v>
      </x:c>
      <x:c r="E398" s="15" t="str">
        <x:v>Chime Financial Inc</x:v>
      </x:c>
      <x:c r="F398" s="15" t="str">
        <x:v>IL</x:v>
      </x:c>
      <x:c r="G398" s="15" t="str">
        <x:v>Yes</x:v>
      </x:c>
      <x:c r="H398" s="15" t="str">
        <x:v>In progress</x:v>
      </x:c>
      <x:c r="I398" s="15" t="str">
        <x:v>Web</x:v>
      </x:c>
      <x:c r="J398" s="16" t="d">
        <x:v>2026-09-30T00:00:00.000Z</x:v>
      </x:c>
      <x:c r="K398" s="15" t="str">
        <x:v>Checking account</x:v>
      </x:c>
      <x:c r="L398" s="15" t="str">
        <x:v>Transaction was not authorized</x:v>
      </x:c>
      <x:c r="M398" s="15" t="str">
        <x:f>_xlfn.XLOOKUP(C398,'Lookups'!$A$7:$A$8,'Lookups'!$B$7:$B$8,"Unmapped",0)</x:f>
        <x:v>Deposit operations</x:v>
      </x:c>
      <x:c r="N398" s="14" t="n">
        <x:f>DATE(YEAR(B398),MONTH(B398),1)</x:f>
        <x:v>46266</x:v>
      </x:c>
    </x:row>
    <x:row r="399" ht="55" customHeight="1">
      <x:c r="A399" s="13" t="str">
        <x:v>28701761</x:v>
      </x:c>
      <x:c r="B399" s="14" t="d">
        <x:v>2026-09-30T00:00:00.000Z</x:v>
      </x:c>
      <x:c r="C399" s="15" t="str">
        <x:v>Checking or savings account</x:v>
      </x:c>
      <x:c r="D399" s="15" t="str">
        <x:v>Opening an account</x:v>
      </x:c>
      <x:c r="E399" s="15" t="str">
        <x:v>Fidelity National Information Services, Inc. (FNIS)</x:v>
      </x:c>
      <x:c r="F399" s="15" t="str">
        <x:v>PA</x:v>
      </x:c>
      <x:c r="G399" s="15" t="str">
        <x:v>Yes</x:v>
      </x:c>
      <x:c r="H399" s="15" t="str">
        <x:v>Closed with explanation</x:v>
      </x:c>
      <x:c r="I399" s="15" t="str">
        <x:v>Web</x:v>
      </x:c>
      <x:c r="J399" s="16" t="d">
        <x:v>2026-09-30T00:00:00.000Z</x:v>
      </x:c>
      <x:c r="K399" s="15" t="str">
        <x:v>Checking account</x:v>
      </x:c>
      <x:c r="L399" s="15" t="str">
        <x:v>Unable to open an account</x:v>
      </x:c>
      <x:c r="M399" s="15" t="str">
        <x:f>_xlfn.XLOOKUP(C399,'Lookups'!$A$7:$A$8,'Lookups'!$B$7:$B$8,"Unmapped",0)</x:f>
        <x:v>Deposit operations</x:v>
      </x:c>
      <x:c r="N399" s="14" t="n">
        <x:f>DATE(YEAR(B399),MONTH(B399),1)</x:f>
        <x:v>46266</x:v>
      </x:c>
    </x:row>
    <x:row r="400" ht="55" customHeight="1">
      <x:c r="A400" s="13" t="str">
        <x:v>28702603</x:v>
      </x:c>
      <x:c r="B400" s="14" t="d">
        <x:v>2026-09-30T00:00:00.000Z</x:v>
      </x:c>
      <x:c r="C400" s="15" t="str">
        <x:v>Credit card</x:v>
      </x:c>
      <x:c r="D400" s="15" t="str">
        <x:v>Getting a credit card</x:v>
      </x:c>
      <x:c r="E400" s="15" t="str">
        <x:v>Experian Information Solutions Inc.</x:v>
      </x:c>
      <x:c r="F400" s="15" t="str">
        <x:v>PA</x:v>
      </x:c>
      <x:c r="G400" s="15" t="str">
        <x:v>Yes</x:v>
      </x:c>
      <x:c r="H400" s="15" t="str">
        <x:v>In progress</x:v>
      </x:c>
      <x:c r="I400" s="15" t="str">
        <x:v>Web</x:v>
      </x:c>
      <x:c r="J400" s="16" t="d">
        <x:v>2026-09-30T00:00:00.000Z</x:v>
      </x:c>
      <x:c r="K400" s="15" t="str">
        <x:v>General-purpose credit card or charge card</x:v>
      </x:c>
      <x:c r="L400" s="15" t="str">
        <x:v>Card opened without my consent or knowledge</x:v>
      </x:c>
      <x:c r="M400" s="15" t="str">
        <x:f>_xlfn.XLOOKUP(C400,'Lookups'!$A$7:$A$8,'Lookups'!$B$7:$B$8,"Unmapped",0)</x:f>
        <x:v>Card operations</x:v>
      </x:c>
      <x:c r="N400" s="14" t="n">
        <x:f>DATE(YEAR(B400),MONTH(B400),1)</x:f>
        <x:v>46266</x:v>
      </x:c>
    </x:row>
    <x:row r="401" ht="55" customHeight="1">
      <x:c r="A401" s="13" t="str">
        <x:v>28702636</x:v>
      </x:c>
      <x:c r="B401" s="14" t="d">
        <x:v>2026-09-30T00:00:00.000Z</x:v>
      </x:c>
      <x:c r="C401" s="15" t="str">
        <x:v>Credit card</x:v>
      </x:c>
      <x:c r="D401" s="15" t="str">
        <x:v>Problem with a purchase shown on your statement</x:v>
      </x:c>
      <x:c r="E401" s="15" t="str">
        <x:v>ROBINHOOD MARKETS INC.</x:v>
      </x:c>
      <x:c r="F401" s="15" t="str">
        <x:v>OR</x:v>
      </x:c>
      <x:c r="G401" s="15" t="str">
        <x:v>Yes</x:v>
      </x:c>
      <x:c r="H401" s="15" t="str">
        <x:v>In progress</x:v>
      </x:c>
      <x:c r="I401" s="15" t="str">
        <x:v>Web</x:v>
      </x:c>
      <x:c r="J401" s="16" t="d">
        <x:v>2026-09-30T00:00:00.000Z</x:v>
      </x:c>
      <x:c r="K401" s="15" t="str">
        <x:v>General-purpose credit card or charge card</x:v>
      </x:c>
      <x:c r="L401" s="15" t="str">
        <x:v>Credit card company isn't resolving a dispute about a purchase on your statement</x:v>
      </x:c>
      <x:c r="M401" s="15" t="str">
        <x:f>_xlfn.XLOOKUP(C401,'Lookups'!$A$7:$A$8,'Lookups'!$B$7:$B$8,"Unmapped",0)</x:f>
        <x:v>Card operations</x:v>
      </x:c>
      <x:c r="N401" s="14" t="n">
        <x:f>DATE(YEAR(B401),MONTH(B401),1)</x:f>
        <x:v>46266</x:v>
      </x:c>
    </x:row>
    <x:row r="402" ht="55" customHeight="1">
      <x:c r="A402" s="13" t="str">
        <x:v>28702940</x:v>
      </x:c>
      <x:c r="B402" s="14" t="d">
        <x:v>2026-09-30T00:00:00.000Z</x:v>
      </x:c>
      <x:c r="C402" s="15" t="str">
        <x:v>Checking or savings account</x:v>
      </x:c>
      <x:c r="D402" s="15" t="str">
        <x:v>Managing an account</x:v>
      </x:c>
      <x:c r="E402" s="15" t="str">
        <x:v>SOFI TECHNOLOGIES, INC.</x:v>
      </x:c>
      <x:c r="F402" s="15" t="str">
        <x:v>FL</x:v>
      </x:c>
      <x:c r="G402" s="15" t="str">
        <x:v>Yes</x:v>
      </x:c>
      <x:c r="H402" s="15" t="str">
        <x:v>Closed with explanation</x:v>
      </x:c>
      <x:c r="I402" s="15" t="str">
        <x:v>Web</x:v>
      </x:c>
      <x:c r="J402" s="16" t="d">
        <x:v>2026-09-30T00:00:00.000Z</x:v>
      </x:c>
      <x:c r="K402" s="15" t="str">
        <x:v>Checking account</x:v>
      </x:c>
      <x:c r="L402" s="15" t="str">
        <x:v>Problem using a debit or ATM card</x:v>
      </x:c>
      <x:c r="M402" s="15" t="str">
        <x:f>_xlfn.XLOOKUP(C402,'Lookups'!$A$7:$A$8,'Lookups'!$B$7:$B$8,"Unmapped",0)</x:f>
        <x:v>Deposit operations</x:v>
      </x:c>
      <x:c r="N402" s="14" t="n">
        <x:f>DATE(YEAR(B402),MONTH(B402),1)</x:f>
        <x:v>46266</x:v>
      </x:c>
    </x:row>
    <x:row r="403" ht="55" customHeight="1">
      <x:c r="A403" s="13" t="str">
        <x:v>28702948</x:v>
      </x:c>
      <x:c r="B403" s="14" t="d">
        <x:v>2026-09-30T00:00:00.000Z</x:v>
      </x:c>
      <x:c r="C403" s="15" t="str">
        <x:v>Credit card</x:v>
      </x:c>
      <x:c r="D403" s="15" t="str">
        <x:v>Getting a credit card</x:v>
      </x:c>
      <x:c r="E403" s="15" t="str">
        <x:v>TRANSUNION INTERMEDIATE HOLDINGS, INC.</x:v>
      </x:c>
      <x:c r="F403" s="15" t="str">
        <x:v>PA</x:v>
      </x:c>
      <x:c r="G403" s="15" t="str">
        <x:v>Yes</x:v>
      </x:c>
      <x:c r="H403" s="15" t="str">
        <x:v>In progress</x:v>
      </x:c>
      <x:c r="I403" s="15" t="str">
        <x:v>Web</x:v>
      </x:c>
      <x:c r="J403" s="16" t="d">
        <x:v>2026-09-30T00:00:00.000Z</x:v>
      </x:c>
      <x:c r="K403" s="15" t="str">
        <x:v>General-purpose credit card or charge card</x:v>
      </x:c>
      <x:c r="L403" s="15" t="str">
        <x:v>Card opened without my consent or knowledge</x:v>
      </x:c>
      <x:c r="M403" s="15" t="str">
        <x:f>_xlfn.XLOOKUP(C403,'Lookups'!$A$7:$A$8,'Lookups'!$B$7:$B$8,"Unmapped",0)</x:f>
        <x:v>Card operations</x:v>
      </x:c>
      <x:c r="N403" s="14" t="n">
        <x:f>DATE(YEAR(B403),MONTH(B403),1)</x:f>
        <x:v>46266</x:v>
      </x:c>
    </x:row>
    <x:row r="404" ht="55" customHeight="1">
      <x:c r="A404" s="13" t="str">
        <x:v>28702958</x:v>
      </x:c>
      <x:c r="B404" s="14" t="d">
        <x:v>2026-09-30T00:00:00.000Z</x:v>
      </x:c>
      <x:c r="C404" s="15" t="str">
        <x:v>Credit card</x:v>
      </x:c>
      <x:c r="D404" s="15" t="str">
        <x:v>Problem with a purchase shown on your statement</x:v>
      </x:c>
      <x:c r="E404" s="15" t="str">
        <x:v>BANK OF AMERICA, NATIONAL ASSOCIATION</x:v>
      </x:c>
      <x:c r="F404" s="15" t="str">
        <x:v>CA</x:v>
      </x:c>
      <x:c r="G404" s="15" t="str">
        <x:v>Yes</x:v>
      </x:c>
      <x:c r="H404" s="15" t="str">
        <x:v>In progress</x:v>
      </x:c>
      <x:c r="I404" s="15" t="str">
        <x:v>Web</x:v>
      </x:c>
      <x:c r="J404" s="16" t="d">
        <x:v>2026-09-30T00:00:00.000Z</x:v>
      </x:c>
      <x:c r="K404" s="15" t="str">
        <x:v>General-purpose credit card or charge card</x:v>
      </x:c>
      <x:c r="L404" s="15" t="str">
        <x:v>Credit card company isn't resolving a dispute about a purchase on your statement</x:v>
      </x:c>
      <x:c r="M404" s="15" t="str">
        <x:f>_xlfn.XLOOKUP(C404,'Lookups'!$A$7:$A$8,'Lookups'!$B$7:$B$8,"Unmapped",0)</x:f>
        <x:v>Card operations</x:v>
      </x:c>
      <x:c r="N404" s="14" t="n">
        <x:f>DATE(YEAR(B404),MONTH(B404),1)</x:f>
        <x:v>46266</x:v>
      </x:c>
    </x:row>
    <x:row r="405" ht="55" customHeight="1">
      <x:c r="A405" s="13" t="str">
        <x:v>28703043</x:v>
      </x:c>
      <x:c r="B405" s="14" t="d">
        <x:v>2026-09-30T00:00:00.000Z</x:v>
      </x:c>
      <x:c r="C405" s="15" t="str">
        <x:v>Credit card</x:v>
      </x:c>
      <x:c r="D405" s="15" t="str">
        <x:v>Getting a credit card</x:v>
      </x:c>
      <x:c r="E405" s="15" t="str">
        <x:v>EQUIFAX, INC.</x:v>
      </x:c>
      <x:c r="F405" s="15" t="str">
        <x:v>PA</x:v>
      </x:c>
      <x:c r="G405" s="15" t="str">
        <x:v>Yes</x:v>
      </x:c>
      <x:c r="H405" s="15" t="str">
        <x:v>In progress</x:v>
      </x:c>
      <x:c r="I405" s="15" t="str">
        <x:v>Web</x:v>
      </x:c>
      <x:c r="J405" s="16" t="d">
        <x:v>2026-09-30T00:00:00.000Z</x:v>
      </x:c>
      <x:c r="K405" s="15" t="str">
        <x:v>General-purpose credit card or charge card</x:v>
      </x:c>
      <x:c r="L405" s="15" t="str">
        <x:v>Card opened without my consent or knowledge</x:v>
      </x:c>
      <x:c r="M405" s="15" t="str">
        <x:f>_xlfn.XLOOKUP(C405,'Lookups'!$A$7:$A$8,'Lookups'!$B$7:$B$8,"Unmapped",0)</x:f>
        <x:v>Card operations</x:v>
      </x:c>
      <x:c r="N405" s="14" t="n">
        <x:f>DATE(YEAR(B405),MONTH(B405),1)</x:f>
        <x:v>46266</x:v>
      </x:c>
    </x:row>
    <x:row r="406" ht="55" customHeight="1">
      <x:c r="A406" s="13" t="str">
        <x:v>28703050</x:v>
      </x:c>
      <x:c r="B406" s="14" t="d">
        <x:v>2026-09-30T00:00:00.000Z</x:v>
      </x:c>
      <x:c r="C406" s="15" t="str">
        <x:v>Credit card</x:v>
      </x:c>
      <x:c r="D406" s="15" t="str">
        <x:v>Getting a credit card</x:v>
      </x:c>
      <x:c r="E406" s="15" t="str">
        <x:v>CAPITAL ONE FINANCIAL CORPORATION</x:v>
      </x:c>
      <x:c r="F406" s="15" t="str">
        <x:v>NC</x:v>
      </x:c>
      <x:c r="G406" s="15" t="str">
        <x:v>Yes</x:v>
      </x:c>
      <x:c r="H406" s="15" t="str">
        <x:v>Closed with explanation</x:v>
      </x:c>
      <x:c r="I406" s="15" t="str">
        <x:v>Web</x:v>
      </x:c>
      <x:c r="J406" s="16" t="d">
        <x:v>2026-09-30T00:00:00.000Z</x:v>
      </x:c>
      <x:c r="K406" s="15" t="str">
        <x:v>General-purpose credit card or charge card</x:v>
      </x:c>
      <x:c r="L406" s="15" t="str">
        <x:v>Card opened without my consent or knowledge</x:v>
      </x:c>
      <x:c r="M406" s="15" t="str">
        <x:f>_xlfn.XLOOKUP(C406,'Lookups'!$A$7:$A$8,'Lookups'!$B$7:$B$8,"Unmapped",0)</x:f>
        <x:v>Card operations</x:v>
      </x:c>
      <x:c r="N406" s="14" t="n">
        <x:f>DATE(YEAR(B406),MONTH(B406),1)</x:f>
        <x:v>46266</x:v>
      </x:c>
    </x:row>
    <x:row r="407" ht="55" customHeight="1">
      <x:c r="A407" s="13" t="str">
        <x:v>28703170</x:v>
      </x:c>
      <x:c r="B407" s="14" t="d">
        <x:v>2026-09-30T00:00:00.000Z</x:v>
      </x:c>
      <x:c r="C407" s="15" t="str">
        <x:v>Credit card</x:v>
      </x:c>
      <x:c r="D407" s="15" t="str">
        <x:v>Fees or interest</x:v>
      </x:c>
      <x:c r="E407" s="15" t="str">
        <x:v>AMERICAN EXPRESS COMPANY</x:v>
      </x:c>
      <x:c r="F407" s="15" t="str">
        <x:v>FL</x:v>
      </x:c>
      <x:c r="G407" s="15" t="str">
        <x:v>Yes</x:v>
      </x:c>
      <x:c r="H407" s="15" t="str">
        <x:v>Closed with explanation</x:v>
      </x:c>
      <x:c r="I407" s="15" t="str">
        <x:v>Web</x:v>
      </x:c>
      <x:c r="J407" s="16" t="d">
        <x:v>2026-09-30T00:00:00.000Z</x:v>
      </x:c>
      <x:c r="K407" s="15" t="str">
        <x:v>General-purpose credit card or charge card</x:v>
      </x:c>
      <x:c r="L407" s="15" t="str">
        <x:v>Problem with fees</x:v>
      </x:c>
      <x:c r="M407" s="15" t="str">
        <x:f>_xlfn.XLOOKUP(C407,'Lookups'!$A$7:$A$8,'Lookups'!$B$7:$B$8,"Unmapped",0)</x:f>
        <x:v>Card operations</x:v>
      </x:c>
      <x:c r="N407" s="14" t="n">
        <x:f>DATE(YEAR(B407),MONTH(B407),1)</x:f>
        <x:v>46266</x:v>
      </x:c>
    </x:row>
    <x:row r="408" ht="55" customHeight="1">
      <x:c r="A408" s="13" t="str">
        <x:v>28703233</x:v>
      </x:c>
      <x:c r="B408" s="14" t="d">
        <x:v>2026-09-30T00:00:00.000Z</x:v>
      </x:c>
      <x:c r="C408" s="15" t="str">
        <x:v>Credit card</x:v>
      </x:c>
      <x:c r="D408" s="15" t="str">
        <x:v>Other features, terms, or problems</x:v>
      </x:c>
      <x:c r="E408" s="15" t="str">
        <x:v>CITIBANK, N.A.</x:v>
      </x:c>
      <x:c r="F408" s="15" t="str">
        <x:v>AL</x:v>
      </x:c>
      <x:c r="G408" s="15" t="str">
        <x:v>Yes</x:v>
      </x:c>
      <x:c r="H408" s="15" t="str">
        <x:v>Closed with explanation</x:v>
      </x:c>
      <x:c r="I408" s="15" t="str">
        <x:v>Web</x:v>
      </x:c>
      <x:c r="J408" s="16" t="d">
        <x:v>2026-09-30T00:00:00.000Z</x:v>
      </x:c>
      <x:c r="K408" s="15" t="str">
        <x:v>General-purpose credit card or charge card</x:v>
      </x:c>
      <x:c r="L408" s="15" t="str">
        <x:v>Problem with balance transfer</x:v>
      </x:c>
      <x:c r="M408" s="15" t="str">
        <x:f>_xlfn.XLOOKUP(C408,'Lookups'!$A$7:$A$8,'Lookups'!$B$7:$B$8,"Unmapped",0)</x:f>
        <x:v>Card operations</x:v>
      </x:c>
      <x:c r="N408" s="14" t="n">
        <x:f>DATE(YEAR(B408),MONTH(B408),1)</x:f>
        <x:v>46266</x:v>
      </x:c>
    </x:row>
    <x:row r="409" ht="55" customHeight="1">
      <x:c r="A409" s="13" t="str">
        <x:v>28703268</x:v>
      </x:c>
      <x:c r="B409" s="14" t="d">
        <x:v>2026-09-30T00:00:00.000Z</x:v>
      </x:c>
      <x:c r="C409" s="15" t="str">
        <x:v>Credit card</x:v>
      </x:c>
      <x:c r="D409" s="15" t="str">
        <x:v>Incorrect information on your report</x:v>
      </x:c>
      <x:c r="E409" s="15" t="str">
        <x:v>BARCLAYS BANK DELAWARE</x:v>
      </x:c>
      <x:c r="F409" s="15" t="str">
        <x:v>NJ</x:v>
      </x:c>
      <x:c r="G409" s="15" t="str">
        <x:v>Yes</x:v>
      </x:c>
      <x:c r="H409" s="15" t="str">
        <x:v>Closed with explanation</x:v>
      </x:c>
      <x:c r="I409" s="15" t="str">
        <x:v>Postal mail</x:v>
      </x:c>
      <x:c r="J409" s="16" t="d">
        <x:v>2026-09-30T00:00:00.000Z</x:v>
      </x:c>
      <x:c r="K409" s="15" t="str">
        <x:v>General-purpose credit card or charge card</x:v>
      </x:c>
      <x:c r="L409" s="15" t="str">
        <x:v>Account status incorrect</x:v>
      </x:c>
      <x:c r="M409" s="15" t="str">
        <x:f>_xlfn.XLOOKUP(C409,'Lookups'!$A$7:$A$8,'Lookups'!$B$7:$B$8,"Unmapped",0)</x:f>
        <x:v>Card operations</x:v>
      </x:c>
      <x:c r="N409" s="14" t="n">
        <x:f>DATE(YEAR(B409),MONTH(B409),1)</x:f>
        <x:v>46266</x:v>
      </x:c>
    </x:row>
    <x:row r="410" ht="55" customHeight="1">
      <x:c r="A410" s="13" t="str">
        <x:v>28703343</x:v>
      </x:c>
      <x:c r="B410" s="14" t="d">
        <x:v>2026-09-30T00:00:00.000Z</x:v>
      </x:c>
      <x:c r="C410" s="15" t="str">
        <x:v>Checking or savings account</x:v>
      </x:c>
      <x:c r="D410" s="15" t="str">
        <x:v>Managing an account</x:v>
      </x:c>
      <x:c r="E410" s="15" t="str">
        <x:v>Chime Financial Inc</x:v>
      </x:c>
      <x:c r="F410" s="15" t="str">
        <x:v>TX</x:v>
      </x:c>
      <x:c r="G410" s="15" t="str">
        <x:v>Yes</x:v>
      </x:c>
      <x:c r="H410" s="15" t="str">
        <x:v>Closed with explanation</x:v>
      </x:c>
      <x:c r="I410" s="15" t="str">
        <x:v>Web</x:v>
      </x:c>
      <x:c r="J410" s="16" t="d">
        <x:v>2026-09-30T00:00:00.000Z</x:v>
      </x:c>
      <x:c r="K410" s="15" t="str">
        <x:v>Checking account</x:v>
      </x:c>
      <x:c r="L410" s="15" t="str">
        <x:v>Problem making or receiving payments</x:v>
      </x:c>
      <x:c r="M410" s="15" t="str">
        <x:f>_xlfn.XLOOKUP(C410,'Lookups'!$A$7:$A$8,'Lookups'!$B$7:$B$8,"Unmapped",0)</x:f>
        <x:v>Deposit operations</x:v>
      </x:c>
      <x:c r="N410" s="14" t="n">
        <x:f>DATE(YEAR(B410),MONTH(B410),1)</x:f>
        <x:v>46266</x:v>
      </x:c>
    </x:row>
    <x:row r="411" ht="55" customHeight="1">
      <x:c r="A411" s="13" t="str">
        <x:v>28703455</x:v>
      </x:c>
      <x:c r="B411" s="14" t="d">
        <x:v>2026-09-30T00:00:00.000Z</x:v>
      </x:c>
      <x:c r="C411" s="15" t="str">
        <x:v>Credit card</x:v>
      </x:c>
      <x:c r="D411" s="15" t="str">
        <x:v>Problem with a purchase shown on your statement</x:v>
      </x:c>
      <x:c r="E411" s="15" t="str">
        <x:v>CAPITAL ONE FINANCIAL CORPORATION</x:v>
      </x:c>
      <x:c r="F411" s="15" t="str">
        <x:v>PA</x:v>
      </x:c>
      <x:c r="G411" s="15" t="str">
        <x:v>Yes</x:v>
      </x:c>
      <x:c r="H411" s="15" t="str">
        <x:v>Closed with explanation</x:v>
      </x:c>
      <x:c r="I411" s="15" t="str">
        <x:v>Web</x:v>
      </x:c>
      <x:c r="J411" s="16" t="d">
        <x:v>2026-09-30T00:00:00.000Z</x:v>
      </x:c>
      <x:c r="K411" s="15" t="str">
        <x:v>General-purpose credit card or charge card</x:v>
      </x:c>
      <x:c r="L411" s="15" t="str">
        <x:v>Credit card company isn't resolving a dispute about a purchase on your statement</x:v>
      </x:c>
      <x:c r="M411" s="15" t="str">
        <x:f>_xlfn.XLOOKUP(C411,'Lookups'!$A$7:$A$8,'Lookups'!$B$7:$B$8,"Unmapped",0)</x:f>
        <x:v>Card operations</x:v>
      </x:c>
      <x:c r="N411" s="14" t="n">
        <x:f>DATE(YEAR(B411),MONTH(B411),1)</x:f>
        <x:v>46266</x:v>
      </x:c>
    </x:row>
    <x:row r="412" ht="55" customHeight="1">
      <x:c r="A412" s="13" t="str">
        <x:v>28703471</x:v>
      </x:c>
      <x:c r="B412" s="14" t="d">
        <x:v>2026-09-30T00:00:00.000Z</x:v>
      </x:c>
      <x:c r="C412" s="15" t="str">
        <x:v>Credit card</x:v>
      </x:c>
      <x:c r="D412" s="15" t="str">
        <x:v>Problem with a purchase shown on your statement</x:v>
      </x:c>
      <x:c r="E412" s="15" t="str">
        <x:v>FIRST NATIONAL BANK OF OMAHA</x:v>
      </x:c>
      <x:c r="F412" s="15" t="str">
        <x:v>OR</x:v>
      </x:c>
      <x:c r="G412" s="15" t="str">
        <x:v>Yes</x:v>
      </x:c>
      <x:c r="H412" s="15" t="str">
        <x:v>Closed with explanation</x:v>
      </x:c>
      <x:c r="I412" s="15" t="str">
        <x:v>Web</x:v>
      </x:c>
      <x:c r="J412" s="16" t="d">
        <x:v>2026-09-30T00:00:00.000Z</x:v>
      </x:c>
      <x:c r="K412" s="15" t="str">
        <x:v>General-purpose credit card or charge card</x:v>
      </x:c>
      <x:c r="L412" s="15" t="str">
        <x:v>Credit card company isn't resolving a dispute about a purchase on your statement</x:v>
      </x:c>
      <x:c r="M412" s="15" t="str">
        <x:f>_xlfn.XLOOKUP(C412,'Lookups'!$A$7:$A$8,'Lookups'!$B$7:$B$8,"Unmapped",0)</x:f>
        <x:v>Card operations</x:v>
      </x:c>
      <x:c r="N412" s="14" t="n">
        <x:f>DATE(YEAR(B412),MONTH(B412),1)</x:f>
        <x:v>46266</x:v>
      </x:c>
    </x:row>
    <x:row r="413" ht="55" customHeight="1">
      <x:c r="A413" s="13" t="str">
        <x:v>28703577</x:v>
      </x:c>
      <x:c r="B413" s="14" t="d">
        <x:v>2026-09-30T00:00:00.000Z</x:v>
      </x:c>
      <x:c r="C413" s="15" t="str">
        <x:v>Checking or savings account</x:v>
      </x:c>
      <x:c r="D413" s="15" t="str">
        <x:v>Problem with a lender or other company charging your account</x:v>
      </x:c>
      <x:c r="E413" s="15" t="str">
        <x:v>WELLS FARGO &amp; COMPANY</x:v>
      </x:c>
      <x:c r="F413" s="15" t="str">
        <x:v>TX</x:v>
      </x:c>
      <x:c r="G413" s="15" t="str">
        <x:v>Yes</x:v>
      </x:c>
      <x:c r="H413" s="15" t="str">
        <x:v>In progress</x:v>
      </x:c>
      <x:c r="I413" s="15" t="str">
        <x:v>Web</x:v>
      </x:c>
      <x:c r="J413" s="16" t="d">
        <x:v>2026-09-30T00:00:00.000Z</x:v>
      </x:c>
      <x:c r="K413" s="15" t="str">
        <x:v>Checking account</x:v>
      </x:c>
      <x:c r="L413" s="15" t="str">
        <x:v>Can't stop withdrawals from your account</x:v>
      </x:c>
      <x:c r="M413" s="15" t="str">
        <x:f>_xlfn.XLOOKUP(C413,'Lookups'!$A$7:$A$8,'Lookups'!$B$7:$B$8,"Unmapped",0)</x:f>
        <x:v>Deposit operations</x:v>
      </x:c>
      <x:c r="N413" s="14" t="n">
        <x:f>DATE(YEAR(B413),MONTH(B413),1)</x:f>
        <x:v>46266</x:v>
      </x:c>
    </x:row>
    <x:row r="414" ht="55" customHeight="1">
      <x:c r="A414" s="13" t="str">
        <x:v>28703646</x:v>
      </x:c>
      <x:c r="B414" s="14" t="d">
        <x:v>2026-09-30T00:00:00.000Z</x:v>
      </x:c>
      <x:c r="C414" s="15" t="str">
        <x:v>Checking or savings account</x:v>
      </x:c>
      <x:c r="D414" s="15" t="str">
        <x:v>Problem with a lender or other company charging your account</x:v>
      </x:c>
      <x:c r="E414" s="15" t="str">
        <x:v>WELLS FARGO &amp; COMPANY</x:v>
      </x:c>
      <x:c r="F414" s="15" t="str">
        <x:v>NJ</x:v>
      </x:c>
      <x:c r="G414" s="15" t="str">
        <x:v>Yes</x:v>
      </x:c>
      <x:c r="H414" s="15" t="str">
        <x:v>In progress</x:v>
      </x:c>
      <x:c r="I414" s="15" t="str">
        <x:v>Web</x:v>
      </x:c>
      <x:c r="J414" s="16" t="d">
        <x:v>2026-09-30T00:00:00.000Z</x:v>
      </x:c>
      <x:c r="K414" s="15" t="str">
        <x:v>Checking account</x:v>
      </x:c>
      <x:c r="L414" s="15" t="str">
        <x:v>Transaction was not authorized</x:v>
      </x:c>
      <x:c r="M414" s="15" t="str">
        <x:f>_xlfn.XLOOKUP(C414,'Lookups'!$A$7:$A$8,'Lookups'!$B$7:$B$8,"Unmapped",0)</x:f>
        <x:v>Deposit operations</x:v>
      </x:c>
      <x:c r="N414" s="14" t="n">
        <x:f>DATE(YEAR(B414),MONTH(B414),1)</x:f>
        <x:v>46266</x:v>
      </x:c>
    </x:row>
    <x:row r="415" ht="55" customHeight="1">
      <x:c r="A415" s="13" t="str">
        <x:v>28703755</x:v>
      </x:c>
      <x:c r="B415" s="14" t="d">
        <x:v>2026-09-30T00:00:00.000Z</x:v>
      </x:c>
      <x:c r="C415" s="15" t="str">
        <x:v>Credit card</x:v>
      </x:c>
      <x:c r="D415" s="15" t="str">
        <x:v>Problem with a purchase shown on your statement</x:v>
      </x:c>
      <x:c r="E415" s="15" t="str">
        <x:v>CITIBANK, N.A.</x:v>
      </x:c>
      <x:c r="F415" s="15" t="str">
        <x:v>WA</x:v>
      </x:c>
      <x:c r="G415" s="15" t="str">
        <x:v>Yes</x:v>
      </x:c>
      <x:c r="H415" s="15" t="str">
        <x:v>Closed with explanation</x:v>
      </x:c>
      <x:c r="I415" s="15" t="str">
        <x:v>Web</x:v>
      </x:c>
      <x:c r="J415" s="16" t="d">
        <x:v>2026-09-30T00:00:00.000Z</x:v>
      </x:c>
      <x:c r="K415" s="15" t="str">
        <x:v>General-purpose credit card or charge card</x:v>
      </x:c>
      <x:c r="L415" s="15" t="str">
        <x:v>Credit card company isn't resolving a dispute about a purchase on your statement</x:v>
      </x:c>
      <x:c r="M415" s="15" t="str">
        <x:f>_xlfn.XLOOKUP(C415,'Lookups'!$A$7:$A$8,'Lookups'!$B$7:$B$8,"Unmapped",0)</x:f>
        <x:v>Card operations</x:v>
      </x:c>
      <x:c r="N415" s="14" t="n">
        <x:f>DATE(YEAR(B415),MONTH(B415),1)</x:f>
        <x:v>46266</x:v>
      </x:c>
    </x:row>
    <x:row r="416" ht="55" customHeight="1">
      <x:c r="A416" s="13" t="str">
        <x:v>28703819</x:v>
      </x:c>
      <x:c r="B416" s="14" t="d">
        <x:v>2026-09-30T00:00:00.000Z</x:v>
      </x:c>
      <x:c r="C416" s="15" t="str">
        <x:v>Credit card</x:v>
      </x:c>
      <x:c r="D416" s="15" t="str">
        <x:v>Getting a credit card</x:v>
      </x:c>
      <x:c r="E416" s="15" t="str">
        <x:v>CAPITAL ONE FINANCIAL CORPORATION</x:v>
      </x:c>
      <x:c r="F416" s="15" t="str">
        <x:v>CA</x:v>
      </x:c>
      <x:c r="G416" s="15" t="str">
        <x:v>Yes</x:v>
      </x:c>
      <x:c r="H416" s="15" t="str">
        <x:v>In progress</x:v>
      </x:c>
      <x:c r="I416" s="15" t="str">
        <x:v>Web</x:v>
      </x:c>
      <x:c r="J416" s="16" t="d">
        <x:v>2026-09-30T00:00:00.000Z</x:v>
      </x:c>
      <x:c r="K416" s="15" t="str">
        <x:v>Store credit card</x:v>
      </x:c>
      <x:c r="L416" s="15" t="str">
        <x:v>Delay in processing application</x:v>
      </x:c>
      <x:c r="M416" s="15" t="str">
        <x:f>_xlfn.XLOOKUP(C416,'Lookups'!$A$7:$A$8,'Lookups'!$B$7:$B$8,"Unmapped",0)</x:f>
        <x:v>Card operations</x:v>
      </x:c>
      <x:c r="N416" s="14" t="n">
        <x:f>DATE(YEAR(B416),MONTH(B416),1)</x:f>
        <x:v>46266</x:v>
      </x:c>
    </x:row>
    <x:row r="417" ht="55" customHeight="1">
      <x:c r="A417" s="13" t="str">
        <x:v>28703826</x:v>
      </x:c>
      <x:c r="B417" s="14" t="d">
        <x:v>2026-09-30T00:00:00.000Z</x:v>
      </x:c>
      <x:c r="C417" s="15" t="str">
        <x:v>Credit card</x:v>
      </x:c>
      <x:c r="D417" s="15" t="str">
        <x:v>Problem with a purchase shown on your statement</x:v>
      </x:c>
      <x:c r="E417" s="15" t="str">
        <x:v>SYNCHRONY FINANCIAL</x:v>
      </x:c>
      <x:c r="F417" s="15" t="str">
        <x:v>TX</x:v>
      </x:c>
      <x:c r="G417" s="15" t="str">
        <x:v>Yes</x:v>
      </x:c>
      <x:c r="H417" s="15" t="str">
        <x:v>In progress</x:v>
      </x:c>
      <x:c r="I417" s="15" t="str">
        <x:v>Web</x:v>
      </x:c>
      <x:c r="J417" s="16" t="d">
        <x:v>2026-09-30T00:00:00.000Z</x:v>
      </x:c>
      <x:c r="K417" s="15" t="str">
        <x:v>Store credit card</x:v>
      </x:c>
      <x:c r="L417" s="15" t="str">
        <x:v>Credit card company isn't resolving a dispute about a purchase on your statement</x:v>
      </x:c>
      <x:c r="M417" s="15" t="str">
        <x:f>_xlfn.XLOOKUP(C417,'Lookups'!$A$7:$A$8,'Lookups'!$B$7:$B$8,"Unmapped",0)</x:f>
        <x:v>Card operations</x:v>
      </x:c>
      <x:c r="N417" s="14" t="n">
        <x:f>DATE(YEAR(B417),MONTH(B417),1)</x:f>
        <x:v>46266</x:v>
      </x:c>
    </x:row>
    <x:row r="418" ht="55" customHeight="1">
      <x:c r="A418" s="13" t="str">
        <x:v>28703833</x:v>
      </x:c>
      <x:c r="B418" s="14" t="d">
        <x:v>2026-09-30T00:00:00.000Z</x:v>
      </x:c>
      <x:c r="C418" s="15" t="str">
        <x:v>Credit card</x:v>
      </x:c>
      <x:c r="D418" s="15" t="str">
        <x:v>Problem when making payments</x:v>
      </x:c>
      <x:c r="E418" s="15" t="str">
        <x:v>GOLDMAN SACHS BANK USA</x:v>
      </x:c>
      <x:c r="F418" s="15" t="str">
        <x:v>MD</x:v>
      </x:c>
      <x:c r="G418" s="15" t="str">
        <x:v>Yes</x:v>
      </x:c>
      <x:c r="H418" s="15" t="str">
        <x:v>Closed with explanation</x:v>
      </x:c>
      <x:c r="I418" s="15" t="str">
        <x:v>Web</x:v>
      </x:c>
      <x:c r="J418" s="16" t="d">
        <x:v>2026-09-30T00:00:00.000Z</x:v>
      </x:c>
      <x:c r="K418" s="15" t="str">
        <x:v>General-purpose credit card or charge card</x:v>
      </x:c>
      <x:c r="L418" s="15" t="str">
        <x:v>Problem during payment process</x:v>
      </x:c>
      <x:c r="M418" s="15" t="str">
        <x:f>_xlfn.XLOOKUP(C418,'Lookups'!$A$7:$A$8,'Lookups'!$B$7:$B$8,"Unmapped",0)</x:f>
        <x:v>Card operations</x:v>
      </x:c>
      <x:c r="N418" s="14" t="n">
        <x:f>DATE(YEAR(B418),MONTH(B418),1)</x:f>
        <x:v>46266</x:v>
      </x:c>
    </x:row>
    <x:row r="419" ht="55" customHeight="1">
      <x:c r="A419" s="13" t="str">
        <x:v>28704009</x:v>
      </x:c>
      <x:c r="B419" s="14" t="d">
        <x:v>2026-09-30T00:00:00.000Z</x:v>
      </x:c>
      <x:c r="C419" s="15" t="str">
        <x:v>Checking or savings account</x:v>
      </x:c>
      <x:c r="D419" s="15" t="str">
        <x:v>Closing an account</x:v>
      </x:c>
      <x:c r="E419" s="15" t="str">
        <x:v>CITIZENS FINANCIAL GROUP, INC.</x:v>
      </x:c>
      <x:c r="F419" s="15" t="str">
        <x:v>RI</x:v>
      </x:c>
      <x:c r="G419" s="15" t="str">
        <x:v>Yes</x:v>
      </x:c>
      <x:c r="H419" s="15" t="str">
        <x:v>Closed with explanation</x:v>
      </x:c>
      <x:c r="I419" s="15" t="str">
        <x:v>Web</x:v>
      </x:c>
      <x:c r="J419" s="16" t="d">
        <x:v>2026-09-30T00:00:00.000Z</x:v>
      </x:c>
      <x:c r="K419" s="15" t="str">
        <x:v>Checking account</x:v>
      </x:c>
      <x:c r="L419" s="15" t="str">
        <x:v>Funds not received from closed account</x:v>
      </x:c>
      <x:c r="M419" s="15" t="str">
        <x:f>_xlfn.XLOOKUP(C419,'Lookups'!$A$7:$A$8,'Lookups'!$B$7:$B$8,"Unmapped",0)</x:f>
        <x:v>Deposit operations</x:v>
      </x:c>
      <x:c r="N419" s="14" t="n">
        <x:f>DATE(YEAR(B419),MONTH(B419),1)</x:f>
        <x:v>46266</x:v>
      </x:c>
    </x:row>
    <x:row r="420" ht="55" customHeight="1">
      <x:c r="A420" s="13" t="str">
        <x:v>28704044</x:v>
      </x:c>
      <x:c r="B420" s="14" t="d">
        <x:v>2026-09-30T00:00:00.000Z</x:v>
      </x:c>
      <x:c r="C420" s="15" t="str">
        <x:v>Checking or savings account</x:v>
      </x:c>
      <x:c r="D420" s="15" t="str">
        <x:v>Managing an account</x:v>
      </x:c>
      <x:c r="E420" s="15" t="str">
        <x:v>JPMORGAN CHASE &amp; CO.</x:v>
      </x:c>
      <x:c r="F420" s="15" t="str">
        <x:v>CA</x:v>
      </x:c>
      <x:c r="G420" s="15" t="str">
        <x:v>Yes</x:v>
      </x:c>
      <x:c r="H420" s="15" t="str">
        <x:v>Closed with explanation</x:v>
      </x:c>
      <x:c r="I420" s="15" t="str">
        <x:v>Web</x:v>
      </x:c>
      <x:c r="J420" s="16" t="d">
        <x:v>2026-09-30T00:00:00.000Z</x:v>
      </x:c>
      <x:c r="K420" s="15" t="str">
        <x:v>Other banking product or service</x:v>
      </x:c>
      <x:c r="L420" s="15" t="str">
        <x:v>Problem making or receiving payments</x:v>
      </x:c>
      <x:c r="M420" s="15" t="str">
        <x:f>_xlfn.XLOOKUP(C420,'Lookups'!$A$7:$A$8,'Lookups'!$B$7:$B$8,"Unmapped",0)</x:f>
        <x:v>Deposit operations</x:v>
      </x:c>
      <x:c r="N420" s="14" t="n">
        <x:f>DATE(YEAR(B420),MONTH(B420),1)</x:f>
        <x:v>46266</x:v>
      </x:c>
    </x:row>
    <x:row r="421" ht="55" customHeight="1">
      <x:c r="A421" s="13" t="str">
        <x:v>28704060</x:v>
      </x:c>
      <x:c r="B421" s="14" t="d">
        <x:v>2026-09-30T00:00:00.000Z</x:v>
      </x:c>
      <x:c r="C421" s="15" t="str">
        <x:v>Checking or savings account</x:v>
      </x:c>
      <x:c r="D421" s="15" t="str">
        <x:v>Problem caused by your funds being low</x:v>
      </x:c>
      <x:c r="E421" s="15" t="str">
        <x:v>WESBANCO BANK, INC.</x:v>
      </x:c>
      <x:c r="F421" s="15" t="str">
        <x:v>OH</x:v>
      </x:c>
      <x:c r="G421" s="15" t="str">
        <x:v>Yes</x:v>
      </x:c>
      <x:c r="H421" s="15" t="str">
        <x:v>Closed with explanation</x:v>
      </x:c>
      <x:c r="I421" s="15" t="str">
        <x:v>Web</x:v>
      </x:c>
      <x:c r="J421" s="16" t="d">
        <x:v>2026-09-30T00:00:00.000Z</x:v>
      </x:c>
      <x:c r="K421" s="15" t="str">
        <x:v>Checking account</x:v>
      </x:c>
      <x:c r="L421" s="15" t="str">
        <x:v>Overdrafts and overdraft fees</x:v>
      </x:c>
      <x:c r="M421" s="15" t="str">
        <x:f>_xlfn.XLOOKUP(C421,'Lookups'!$A$7:$A$8,'Lookups'!$B$7:$B$8,"Unmapped",0)</x:f>
        <x:v>Deposit operations</x:v>
      </x:c>
      <x:c r="N421" s="14" t="n">
        <x:f>DATE(YEAR(B421),MONTH(B421),1)</x:f>
        <x:v>46266</x:v>
      </x:c>
    </x:row>
    <x:row r="422" ht="55" customHeight="1">
      <x:c r="A422" s="13" t="str">
        <x:v>28704064</x:v>
      </x:c>
      <x:c r="B422" s="14" t="d">
        <x:v>2026-09-30T00:00:00.000Z</x:v>
      </x:c>
      <x:c r="C422" s="15" t="str">
        <x:v>Checking or savings account</x:v>
      </x:c>
      <x:c r="D422" s="15" t="str">
        <x:v>Managing an account</x:v>
      </x:c>
      <x:c r="E422" s="15" t="str">
        <x:v>FourLeaf Federal Credit Union</x:v>
      </x:c>
      <x:c r="F422" s="15" t="str">
        <x:v>NY</x:v>
      </x:c>
      <x:c r="G422" s="15" t="str">
        <x:v>Yes</x:v>
      </x:c>
      <x:c r="H422" s="15" t="str">
        <x:v>Closed with explanation</x:v>
      </x:c>
      <x:c r="I422" s="15" t="str">
        <x:v>Web</x:v>
      </x:c>
      <x:c r="J422" s="16" t="d">
        <x:v>2026-09-30T00:00:00.000Z</x:v>
      </x:c>
      <x:c r="K422" s="15" t="str">
        <x:v>Checking account</x:v>
      </x:c>
      <x:c r="L422" s="15" t="str">
        <x:v>Deposits and withdrawals</x:v>
      </x:c>
      <x:c r="M422" s="15" t="str">
        <x:f>_xlfn.XLOOKUP(C422,'Lookups'!$A$7:$A$8,'Lookups'!$B$7:$B$8,"Unmapped",0)</x:f>
        <x:v>Deposit operations</x:v>
      </x:c>
      <x:c r="N422" s="14" t="n">
        <x:f>DATE(YEAR(B422),MONTH(B422),1)</x:f>
        <x:v>46266</x:v>
      </x:c>
    </x:row>
    <x:row r="423" ht="55" customHeight="1">
      <x:c r="A423" s="13" t="str">
        <x:v>28704116</x:v>
      </x:c>
      <x:c r="B423" s="14" t="d">
        <x:v>2026-09-30T00:00:00.000Z</x:v>
      </x:c>
      <x:c r="C423" s="15" t="str">
        <x:v>Credit card</x:v>
      </x:c>
      <x:c r="D423" s="15" t="str">
        <x:v>Problem with a purchase shown on your statement</x:v>
      </x:c>
      <x:c r="E423" s="15" t="str">
        <x:v>CAPITAL ONE FINANCIAL CORPORATION</x:v>
      </x:c>
      <x:c r="F423" s="15" t="str">
        <x:v>NC</x:v>
      </x:c>
      <x:c r="G423" s="15" t="str">
        <x:v>Yes</x:v>
      </x:c>
      <x:c r="H423" s="15" t="str">
        <x:v>In progress</x:v>
      </x:c>
      <x:c r="I423" s="15" t="str">
        <x:v>Web</x:v>
      </x:c>
      <x:c r="J423" s="16" t="d">
        <x:v>2026-09-30T00:00:00.000Z</x:v>
      </x:c>
      <x:c r="K423" s="15" t="str">
        <x:v>General-purpose credit card or charge card</x:v>
      </x:c>
      <x:c r="L423" s="15" t="str">
        <x:v>Credit card company isn't resolving a dispute about a purchase on your statement</x:v>
      </x:c>
      <x:c r="M423" s="15" t="str">
        <x:f>_xlfn.XLOOKUP(C423,'Lookups'!$A$7:$A$8,'Lookups'!$B$7:$B$8,"Unmapped",0)</x:f>
        <x:v>Card operations</x:v>
      </x:c>
      <x:c r="N423" s="14" t="n">
        <x:f>DATE(YEAR(B423),MONTH(B423),1)</x:f>
        <x:v>46266</x:v>
      </x:c>
    </x:row>
    <x:row r="424" ht="55" customHeight="1">
      <x:c r="A424" s="13" t="str">
        <x:v>28704184</x:v>
      </x:c>
      <x:c r="B424" s="14" t="d">
        <x:v>2026-09-30T00:00:00.000Z</x:v>
      </x:c>
      <x:c r="C424" s="15" t="str">
        <x:v>Credit card</x:v>
      </x:c>
      <x:c r="D424" s="15" t="str">
        <x:v>Problem with a purchase shown on your statement</x:v>
      </x:c>
      <x:c r="E424" s="15" t="str">
        <x:v>WELLS FARGO &amp; COMPANY</x:v>
      </x:c>
      <x:c r="F424" s="15" t="str">
        <x:v>AL</x:v>
      </x:c>
      <x:c r="G424" s="15" t="str">
        <x:v>Yes</x:v>
      </x:c>
      <x:c r="H424" s="15" t="str">
        <x:v>In progress</x:v>
      </x:c>
      <x:c r="I424" s="15" t="str">
        <x:v>Web</x:v>
      </x:c>
      <x:c r="J424" s="16" t="d">
        <x:v>2026-09-30T00:00:00.000Z</x:v>
      </x:c>
      <x:c r="K424" s="15" t="str">
        <x:v>General-purpose credit card or charge card</x:v>
      </x:c>
      <x:c r="L424" s="15" t="str">
        <x:v>Credit card company isn't resolving a dispute about a purchase on your statement</x:v>
      </x:c>
      <x:c r="M424" s="15" t="str">
        <x:f>_xlfn.XLOOKUP(C424,'Lookups'!$A$7:$A$8,'Lookups'!$B$7:$B$8,"Unmapped",0)</x:f>
        <x:v>Card operations</x:v>
      </x:c>
      <x:c r="N424" s="14" t="n">
        <x:f>DATE(YEAR(B424),MONTH(B424),1)</x:f>
        <x:v>46266</x:v>
      </x:c>
    </x:row>
    <x:row r="425" ht="55" customHeight="1">
      <x:c r="A425" s="13" t="str">
        <x:v>28704192</x:v>
      </x:c>
      <x:c r="B425" s="14" t="d">
        <x:v>2026-09-30T00:00:00.000Z</x:v>
      </x:c>
      <x:c r="C425" s="15" t="str">
        <x:v>Checking or savings account</x:v>
      </x:c>
      <x:c r="D425" s="15" t="str">
        <x:v>Closing an account</x:v>
      </x:c>
      <x:c r="E425" s="15" t="str">
        <x:v>ARVEST BANK GROUP, INC.</x:v>
      </x:c>
      <x:c r="F425" s="15" t="str">
        <x:v>AR</x:v>
      </x:c>
      <x:c r="G425" s="15" t="str">
        <x:v>Yes</x:v>
      </x:c>
      <x:c r="H425" s="15" t="str">
        <x:v>Closed with explanation</x:v>
      </x:c>
      <x:c r="I425" s="15" t="str">
        <x:v>Web</x:v>
      </x:c>
      <x:c r="J425" s="16" t="d">
        <x:v>2026-09-30T00:00:00.000Z</x:v>
      </x:c>
      <x:c r="K425" s="15" t="str">
        <x:v>Checking account</x:v>
      </x:c>
      <x:c r="L425" s="15" t="str">
        <x:v>Company closed your account</x:v>
      </x:c>
      <x:c r="M425" s="15" t="str">
        <x:f>_xlfn.XLOOKUP(C425,'Lookups'!$A$7:$A$8,'Lookups'!$B$7:$B$8,"Unmapped",0)</x:f>
        <x:v>Deposit operations</x:v>
      </x:c>
      <x:c r="N425" s="14" t="n">
        <x:f>DATE(YEAR(B425),MONTH(B425),1)</x:f>
        <x:v>46266</x:v>
      </x:c>
    </x:row>
    <x:row r="426" ht="55" customHeight="1">
      <x:c r="A426" s="13" t="str">
        <x:v>28704242</x:v>
      </x:c>
      <x:c r="B426" s="14" t="d">
        <x:v>2026-09-30T00:00:00.000Z</x:v>
      </x:c>
      <x:c r="C426" s="15" t="str">
        <x:v>Checking or savings account</x:v>
      </x:c>
      <x:c r="D426" s="15" t="str">
        <x:v>Managing an account</x:v>
      </x:c>
      <x:c r="E426" s="15" t="str">
        <x:v>BANK OF AMERICA, NATIONAL ASSOCIATION</x:v>
      </x:c>
      <x:c r="F426" s="15" t="str">
        <x:v>NC</x:v>
      </x:c>
      <x:c r="G426" s="15" t="str">
        <x:v>Yes</x:v>
      </x:c>
      <x:c r="H426" s="15" t="str">
        <x:v>In progress</x:v>
      </x:c>
      <x:c r="I426" s="15" t="str">
        <x:v>Web</x:v>
      </x:c>
      <x:c r="J426" s="16" t="d">
        <x:v>2026-09-30T00:00:00.000Z</x:v>
      </x:c>
      <x:c r="K426" s="15" t="str">
        <x:v>Checking account</x:v>
      </x:c>
      <x:c r="L426" s="15" t="str">
        <x:v>Deposits and withdrawals</x:v>
      </x:c>
      <x:c r="M426" s="15" t="str">
        <x:f>_xlfn.XLOOKUP(C426,'Lookups'!$A$7:$A$8,'Lookups'!$B$7:$B$8,"Unmapped",0)</x:f>
        <x:v>Deposit operations</x:v>
      </x:c>
      <x:c r="N426" s="14" t="n">
        <x:f>DATE(YEAR(B426),MONTH(B426),1)</x:f>
        <x:v>46266</x:v>
      </x:c>
    </x:row>
    <x:row r="427" ht="55" customHeight="1">
      <x:c r="A427" s="13" t="str">
        <x:v>28704251</x:v>
      </x:c>
      <x:c r="B427" s="14" t="d">
        <x:v>2026-09-30T00:00:00.000Z</x:v>
      </x:c>
      <x:c r="C427" s="15" t="str">
        <x:v>Credit card</x:v>
      </x:c>
      <x:c r="D427" s="15" t="str">
        <x:v>Problem with a purchase shown on your statement</x:v>
      </x:c>
      <x:c r="E427" s="15" t="str">
        <x:v>CAPITAL ONE FINANCIAL CORPORATION</x:v>
      </x:c>
      <x:c r="F427" s="15" t="str">
        <x:v>TX</x:v>
      </x:c>
      <x:c r="G427" s="15" t="str">
        <x:v>Yes</x:v>
      </x:c>
      <x:c r="H427" s="15" t="str">
        <x:v>In progress</x:v>
      </x:c>
      <x:c r="I427" s="15" t="str">
        <x:v>Web</x:v>
      </x:c>
      <x:c r="J427" s="16" t="d">
        <x:v>2026-09-30T00:00:00.000Z</x:v>
      </x:c>
      <x:c r="K427" s="15" t="str">
        <x:v>General-purpose credit card or charge card</x:v>
      </x:c>
      <x:c r="L427" s="15" t="str">
        <x:v>Credit card company isn't resolving a dispute about a purchase on your statement</x:v>
      </x:c>
      <x:c r="M427" s="15" t="str">
        <x:f>_xlfn.XLOOKUP(C427,'Lookups'!$A$7:$A$8,'Lookups'!$B$7:$B$8,"Unmapped",0)</x:f>
        <x:v>Card operations</x:v>
      </x:c>
      <x:c r="N427" s="14" t="n">
        <x:f>DATE(YEAR(B427),MONTH(B427),1)</x:f>
        <x:v>46266</x:v>
      </x:c>
    </x:row>
    <x:row r="428" ht="55" customHeight="1">
      <x:c r="A428" s="13" t="str">
        <x:v>28704267</x:v>
      </x:c>
      <x:c r="B428" s="14" t="d">
        <x:v>2026-09-30T00:00:00.000Z</x:v>
      </x:c>
      <x:c r="C428" s="15" t="str">
        <x:v>Checking or savings account</x:v>
      </x:c>
      <x:c r="D428" s="15" t="str">
        <x:v>Managing an account</x:v>
      </x:c>
      <x:c r="E428" s="15" t="str">
        <x:v>WELLS FARGO &amp; COMPANY</x:v>
      </x:c>
      <x:c r="F428" s="15" t="str">
        <x:v>NV</x:v>
      </x:c>
      <x:c r="G428" s="15" t="str">
        <x:v>Yes</x:v>
      </x:c>
      <x:c r="H428" s="15" t="str">
        <x:v>Closed with explanation</x:v>
      </x:c>
      <x:c r="I428" s="15" t="str">
        <x:v>Web</x:v>
      </x:c>
      <x:c r="J428" s="16" t="d">
        <x:v>2026-09-30T00:00:00.000Z</x:v>
      </x:c>
      <x:c r="K428" s="15" t="str">
        <x:v>Checking account</x:v>
      </x:c>
      <x:c r="L428" s="15" t="str">
        <x:v>Funds not handled or disbursed as instructed</x:v>
      </x:c>
      <x:c r="M428" s="15" t="str">
        <x:f>_xlfn.XLOOKUP(C428,'Lookups'!$A$7:$A$8,'Lookups'!$B$7:$B$8,"Unmapped",0)</x:f>
        <x:v>Deposit operations</x:v>
      </x:c>
      <x:c r="N428" s="14" t="n">
        <x:f>DATE(YEAR(B428),MONTH(B428),1)</x:f>
        <x:v>46266</x:v>
      </x:c>
    </x:row>
    <x:row r="429" ht="55" customHeight="1">
      <x:c r="A429" s="13" t="str">
        <x:v>28704337</x:v>
      </x:c>
      <x:c r="B429" s="14" t="d">
        <x:v>2026-09-30T00:00:00.000Z</x:v>
      </x:c>
      <x:c r="C429" s="15" t="str">
        <x:v>Credit card</x:v>
      </x:c>
      <x:c r="D429" s="15" t="str">
        <x:v>Problem when making payments</x:v>
      </x:c>
      <x:c r="E429" s="15" t="str">
        <x:v>BANK OF AMERICA, NATIONAL ASSOCIATION</x:v>
      </x:c>
      <x:c r="F429" s="15" t="str">
        <x:v>UT</x:v>
      </x:c>
      <x:c r="G429" s="15" t="str">
        <x:v>Yes</x:v>
      </x:c>
      <x:c r="H429" s="15" t="str">
        <x:v>Closed with monetary relief</x:v>
      </x:c>
      <x:c r="I429" s="15" t="str">
        <x:v>Web</x:v>
      </x:c>
      <x:c r="J429" s="16" t="d">
        <x:v>2026-09-30T00:00:00.000Z</x:v>
      </x:c>
      <x:c r="K429" s="15" t="str">
        <x:v>General-purpose credit card or charge card</x:v>
      </x:c>
      <x:c r="L429" s="15" t="str">
        <x:v>Problem during payment process</x:v>
      </x:c>
      <x:c r="M429" s="15" t="str">
        <x:f>_xlfn.XLOOKUP(C429,'Lookups'!$A$7:$A$8,'Lookups'!$B$7:$B$8,"Unmapped",0)</x:f>
        <x:v>Card operations</x:v>
      </x:c>
      <x:c r="N429" s="14" t="n">
        <x:f>DATE(YEAR(B429),MONTH(B429),1)</x:f>
        <x:v>46266</x:v>
      </x:c>
    </x:row>
    <x:row r="430" ht="55" customHeight="1">
      <x:c r="A430" s="13" t="str">
        <x:v>28704377</x:v>
      </x:c>
      <x:c r="B430" s="14" t="d">
        <x:v>2026-09-30T00:00:00.000Z</x:v>
      </x:c>
      <x:c r="C430" s="15" t="str">
        <x:v>Credit card</x:v>
      </x:c>
      <x:c r="D430" s="15" t="str">
        <x:v>Advertising and marketing, including promotional offers</x:v>
      </x:c>
      <x:c r="E430" s="15" t="str">
        <x:v>CAPITAL ONE FINANCIAL CORPORATION</x:v>
      </x:c>
      <x:c r="F430" s="15" t="str">
        <x:v>PA</x:v>
      </x:c>
      <x:c r="G430" s="15" t="str">
        <x:v>Yes</x:v>
      </x:c>
      <x:c r="H430" s="15" t="str">
        <x:v>In progress</x:v>
      </x:c>
      <x:c r="I430" s="15" t="str">
        <x:v>Web</x:v>
      </x:c>
      <x:c r="J430" s="16" t="d">
        <x:v>2026-09-30T00:00:00.000Z</x:v>
      </x:c>
      <x:c r="K430" s="15" t="str">
        <x:v>General-purpose credit card or charge card</x:v>
      </x:c>
      <x:c r="L430" s="15" t="str">
        <x:v>Didn't receive advertised or promotional terms</x:v>
      </x:c>
      <x:c r="M430" s="15" t="str">
        <x:f>_xlfn.XLOOKUP(C430,'Lookups'!$A$7:$A$8,'Lookups'!$B$7:$B$8,"Unmapped",0)</x:f>
        <x:v>Card operations</x:v>
      </x:c>
      <x:c r="N430" s="14" t="n">
        <x:f>DATE(YEAR(B430),MONTH(B430),1)</x:f>
        <x:v>46266</x:v>
      </x:c>
    </x:row>
    <x:row r="431" ht="55" customHeight="1">
      <x:c r="A431" s="13" t="str">
        <x:v>28704392</x:v>
      </x:c>
      <x:c r="B431" s="14" t="d">
        <x:v>2026-09-30T00:00:00.000Z</x:v>
      </x:c>
      <x:c r="C431" s="15" t="str">
        <x:v>Checking or savings account</x:v>
      </x:c>
      <x:c r="D431" s="15" t="str">
        <x:v>Opening an account</x:v>
      </x:c>
      <x:c r="E431" s="15" t="str">
        <x:v>Chime Financial Inc</x:v>
      </x:c>
      <x:c r="F431" s="15" t="str">
        <x:v>FL</x:v>
      </x:c>
      <x:c r="G431" s="15" t="str">
        <x:v>Yes</x:v>
      </x:c>
      <x:c r="H431" s="15" t="str">
        <x:v>Closed with explanation</x:v>
      </x:c>
      <x:c r="I431" s="15" t="str">
        <x:v>Web</x:v>
      </x:c>
      <x:c r="J431" s="16" t="d">
        <x:v>2026-09-30T00:00:00.000Z</x:v>
      </x:c>
      <x:c r="K431" s="15" t="str">
        <x:v>Checking account</x:v>
      </x:c>
      <x:c r="L431" s="15" t="str">
        <x:v>Didn't receive terms that were advertised</x:v>
      </x:c>
      <x:c r="M431" s="15" t="str">
        <x:f>_xlfn.XLOOKUP(C431,'Lookups'!$A$7:$A$8,'Lookups'!$B$7:$B$8,"Unmapped",0)</x:f>
        <x:v>Deposit operations</x:v>
      </x:c>
      <x:c r="N431" s="14" t="n">
        <x:f>DATE(YEAR(B431),MONTH(B431),1)</x:f>
        <x:v>46266</x:v>
      </x:c>
    </x:row>
    <x:row r="432" ht="55" customHeight="1">
      <x:c r="A432" s="13" t="str">
        <x:v>28704471</x:v>
      </x:c>
      <x:c r="B432" s="14" t="d">
        <x:v>2026-09-30T00:00:00.000Z</x:v>
      </x:c>
      <x:c r="C432" s="15" t="str">
        <x:v>Checking or savings account</x:v>
      </x:c>
      <x:c r="D432" s="15" t="str">
        <x:v>Managing an account</x:v>
      </x:c>
      <x:c r="E432" s="15" t="str">
        <x:v>PNC Bank N.A.</x:v>
      </x:c>
      <x:c r="F432" s="15" t="str">
        <x:v>FL</x:v>
      </x:c>
      <x:c r="G432" s="15" t="str">
        <x:v>Yes</x:v>
      </x:c>
      <x:c r="H432" s="15" t="str">
        <x:v>In progress</x:v>
      </x:c>
      <x:c r="I432" s="15" t="str">
        <x:v>Web</x:v>
      </x:c>
      <x:c r="J432" s="16" t="d">
        <x:v>2026-09-30T00:00:00.000Z</x:v>
      </x:c>
      <x:c r="K432" s="15" t="str">
        <x:v>Checking account</x:v>
      </x:c>
      <x:c r="L432" s="15" t="str">
        <x:v>Deposits and withdrawals</x:v>
      </x:c>
      <x:c r="M432" s="15" t="str">
        <x:f>_xlfn.XLOOKUP(C432,'Lookups'!$A$7:$A$8,'Lookups'!$B$7:$B$8,"Unmapped",0)</x:f>
        <x:v>Deposit operations</x:v>
      </x:c>
      <x:c r="N432" s="14" t="n">
        <x:f>DATE(YEAR(B432),MONTH(B432),1)</x:f>
        <x:v>46266</x:v>
      </x:c>
    </x:row>
    <x:row r="433" ht="55" customHeight="1">
      <x:c r="A433" s="13" t="str">
        <x:v>28704476</x:v>
      </x:c>
      <x:c r="B433" s="14" t="d">
        <x:v>2026-09-30T00:00:00.000Z</x:v>
      </x:c>
      <x:c r="C433" s="15" t="str">
        <x:v>Credit card</x:v>
      </x:c>
      <x:c r="D433" s="15" t="str">
        <x:v>Getting a credit card</x:v>
      </x:c>
      <x:c r="E433" s="15" t="str">
        <x:v>Experian Information Solutions Inc.</x:v>
      </x:c>
      <x:c r="F433" s="15" t="str">
        <x:v>PA</x:v>
      </x:c>
      <x:c r="G433" s="15" t="str">
        <x:v>Yes</x:v>
      </x:c>
      <x:c r="H433" s="15" t="str">
        <x:v>In progress</x:v>
      </x:c>
      <x:c r="I433" s="15" t="str">
        <x:v>Web</x:v>
      </x:c>
      <x:c r="J433" s="16" t="d">
        <x:v>2026-09-30T00:00:00.000Z</x:v>
      </x:c>
      <x:c r="K433" s="15" t="str">
        <x:v>General-purpose credit card or charge card</x:v>
      </x:c>
      <x:c r="L433" s="15" t="str">
        <x:v>Card opened without my consent or knowledge</x:v>
      </x:c>
      <x:c r="M433" s="15" t="str">
        <x:f>_xlfn.XLOOKUP(C433,'Lookups'!$A$7:$A$8,'Lookups'!$B$7:$B$8,"Unmapped",0)</x:f>
        <x:v>Card operations</x:v>
      </x:c>
      <x:c r="N433" s="14" t="n">
        <x:f>DATE(YEAR(B433),MONTH(B433),1)</x:f>
        <x:v>46266</x:v>
      </x:c>
    </x:row>
    <x:row r="434" ht="55" customHeight="1">
      <x:c r="A434" s="13" t="str">
        <x:v>28704590</x:v>
      </x:c>
      <x:c r="B434" s="14" t="d">
        <x:v>2026-09-30T00:00:00.000Z</x:v>
      </x:c>
      <x:c r="C434" s="15" t="str">
        <x:v>Credit card</x:v>
      </x:c>
      <x:c r="D434" s="15" t="str">
        <x:v>Advertising and marketing, including promotional offers</x:v>
      </x:c>
      <x:c r="E434" s="15" t="str">
        <x:v>JPMORGAN CHASE &amp; CO.</x:v>
      </x:c>
      <x:c r="F434" s="15" t="str">
        <x:v>MI</x:v>
      </x:c>
      <x:c r="G434" s="15" t="str">
        <x:v>Yes</x:v>
      </x:c>
      <x:c r="H434" s="15" t="str">
        <x:v>Closed with explanation</x:v>
      </x:c>
      <x:c r="I434" s="15" t="str">
        <x:v>Web</x:v>
      </x:c>
      <x:c r="J434" s="16" t="d">
        <x:v>2026-09-30T00:00:00.000Z</x:v>
      </x:c>
      <x:c r="K434" s="15" t="str">
        <x:v>General-purpose credit card or charge card</x:v>
      </x:c>
      <x:c r="L434" s="15" t="str">
        <x:v>Didn't receive advertised or promotional terms</x:v>
      </x:c>
      <x:c r="M434" s="15" t="str">
        <x:f>_xlfn.XLOOKUP(C434,'Lookups'!$A$7:$A$8,'Lookups'!$B$7:$B$8,"Unmapped",0)</x:f>
        <x:v>Card operations</x:v>
      </x:c>
      <x:c r="N434" s="14" t="n">
        <x:f>DATE(YEAR(B434),MONTH(B434),1)</x:f>
        <x:v>46266</x:v>
      </x:c>
    </x:row>
    <x:row r="435" ht="55" customHeight="1">
      <x:c r="A435" s="13" t="str">
        <x:v>28704640</x:v>
      </x:c>
      <x:c r="B435" s="14" t="d">
        <x:v>2026-09-30T00:00:00.000Z</x:v>
      </x:c>
      <x:c r="C435" s="15" t="str">
        <x:v>Credit card</x:v>
      </x:c>
      <x:c r="D435" s="15" t="str">
        <x:v>Problem when making payments</x:v>
      </x:c>
      <x:c r="E435" s="15" t="str">
        <x:v>CAPITAL ONE FINANCIAL CORPORATION</x:v>
      </x:c>
      <x:c r="F435" s="15" t="str">
        <x:v>FL</x:v>
      </x:c>
      <x:c r="G435" s="15" t="str">
        <x:v>Yes</x:v>
      </x:c>
      <x:c r="H435" s="15" t="str">
        <x:v>In progress</x:v>
      </x:c>
      <x:c r="I435" s="15" t="str">
        <x:v>Web</x:v>
      </x:c>
      <x:c r="J435" s="16" t="d">
        <x:v>2026-09-30T00:00:00.000Z</x:v>
      </x:c>
      <x:c r="K435" s="15" t="str">
        <x:v>General-purpose credit card or charge card</x:v>
      </x:c>
      <x:c r="L435" s="15" t="str">
        <x:v>You never received your bill or did not know a payment was due</x:v>
      </x:c>
      <x:c r="M435" s="15" t="str">
        <x:f>_xlfn.XLOOKUP(C435,'Lookups'!$A$7:$A$8,'Lookups'!$B$7:$B$8,"Unmapped",0)</x:f>
        <x:v>Card operations</x:v>
      </x:c>
      <x:c r="N435" s="14" t="n">
        <x:f>DATE(YEAR(B435),MONTH(B435),1)</x:f>
        <x:v>46266</x:v>
      </x:c>
    </x:row>
    <x:row r="436" ht="55" customHeight="1">
      <x:c r="A436" s="13" t="str">
        <x:v>28704699</x:v>
      </x:c>
      <x:c r="B436" s="14" t="d">
        <x:v>2026-09-30T00:00:00.000Z</x:v>
      </x:c>
      <x:c r="C436" s="15" t="str">
        <x:v>Credit card</x:v>
      </x:c>
      <x:c r="D436" s="15" t="str">
        <x:v>Getting a credit card</x:v>
      </x:c>
      <x:c r="E436" s="15" t="str">
        <x:v>TRANSUNION INTERMEDIATE HOLDINGS, INC.</x:v>
      </x:c>
      <x:c r="F436" s="15" t="str">
        <x:v>PA</x:v>
      </x:c>
      <x:c r="G436" s="15" t="str">
        <x:v>Yes</x:v>
      </x:c>
      <x:c r="H436" s="15" t="str">
        <x:v>In progress</x:v>
      </x:c>
      <x:c r="I436" s="15" t="str">
        <x:v>Web</x:v>
      </x:c>
      <x:c r="J436" s="16" t="d">
        <x:v>2026-09-30T00:00:00.000Z</x:v>
      </x:c>
      <x:c r="K436" s="15" t="str">
        <x:v>General-purpose credit card or charge card</x:v>
      </x:c>
      <x:c r="L436" s="15" t="str">
        <x:v>Card opened without my consent or knowledge</x:v>
      </x:c>
      <x:c r="M436" s="15" t="str">
        <x:f>_xlfn.XLOOKUP(C436,'Lookups'!$A$7:$A$8,'Lookups'!$B$7:$B$8,"Unmapped",0)</x:f>
        <x:v>Card operations</x:v>
      </x:c>
      <x:c r="N436" s="14" t="n">
        <x:f>DATE(YEAR(B436),MONTH(B436),1)</x:f>
        <x:v>46266</x:v>
      </x:c>
    </x:row>
    <x:row r="437" ht="55" customHeight="1">
      <x:c r="A437" s="13" t="str">
        <x:v>28704900</x:v>
      </x:c>
      <x:c r="B437" s="14" t="d">
        <x:v>2026-09-30T00:00:00.000Z</x:v>
      </x:c>
      <x:c r="C437" s="15" t="str">
        <x:v>Credit card</x:v>
      </x:c>
      <x:c r="D437" s="15" t="str">
        <x:v>Problem with a purchase shown on your statement</x:v>
      </x:c>
      <x:c r="E437" s="15" t="str">
        <x:v>ROBINHOOD MARKETS INC.</x:v>
      </x:c>
      <x:c r="F437" s="15" t="str">
        <x:v>NJ</x:v>
      </x:c>
      <x:c r="G437" s="15" t="str">
        <x:v>Yes</x:v>
      </x:c>
      <x:c r="H437" s="15" t="str">
        <x:v>In progress</x:v>
      </x:c>
      <x:c r="I437" s="15" t="str">
        <x:v>Web</x:v>
      </x:c>
      <x:c r="J437" s="16" t="d">
        <x:v>2026-09-30T00:00:00.000Z</x:v>
      </x:c>
      <x:c r="K437" s="15" t="str">
        <x:v>General-purpose credit card or charge card</x:v>
      </x:c>
      <x:c r="L437" s="15" t="str">
        <x:v>Card was charged for something you did not purchase with the card</x:v>
      </x:c>
      <x:c r="M437" s="15" t="str">
        <x:f>_xlfn.XLOOKUP(C437,'Lookups'!$A$7:$A$8,'Lookups'!$B$7:$B$8,"Unmapped",0)</x:f>
        <x:v>Card operations</x:v>
      </x:c>
      <x:c r="N437" s="14" t="n">
        <x:f>DATE(YEAR(B437),MONTH(B437),1)</x:f>
        <x:v>46266</x:v>
      </x:c>
    </x:row>
    <x:row r="438" ht="55" customHeight="1">
      <x:c r="A438" s="13" t="str">
        <x:v>28705059</x:v>
      </x:c>
      <x:c r="B438" s="14" t="d">
        <x:v>2026-09-30T00:00:00.000Z</x:v>
      </x:c>
      <x:c r="C438" s="15" t="str">
        <x:v>Credit card</x:v>
      </x:c>
      <x:c r="D438" s="15" t="str">
        <x:v>Problem with a purchase shown on your statement</x:v>
      </x:c>
      <x:c r="E438" s="15" t="str">
        <x:v>BANK OF AMERICA, NATIONAL ASSOCIATION</x:v>
      </x:c>
      <x:c r="F438" s="15" t="str">
        <x:v>LA</x:v>
      </x:c>
      <x:c r="G438" s="15" t="str">
        <x:v>Yes</x:v>
      </x:c>
      <x:c r="H438" s="15" t="str">
        <x:v>In progress</x:v>
      </x:c>
      <x:c r="I438" s="15" t="str">
        <x:v>Phone</x:v>
      </x:c>
      <x:c r="J438" s="16" t="d">
        <x:v>2026-09-30T00:00:00.000Z</x:v>
      </x:c>
      <x:c r="K438" s="15" t="str">
        <x:v>General-purpose credit card or charge card</x:v>
      </x:c>
      <x:c r="L438" s="15" t="str">
        <x:v>Credit card company isn't resolving a dispute about a purchase on your statement</x:v>
      </x:c>
      <x:c r="M438" s="15" t="str">
        <x:f>_xlfn.XLOOKUP(C438,'Lookups'!$A$7:$A$8,'Lookups'!$B$7:$B$8,"Unmapped",0)</x:f>
        <x:v>Card operations</x:v>
      </x:c>
      <x:c r="N438" s="14" t="n">
        <x:f>DATE(YEAR(B438),MONTH(B438),1)</x:f>
        <x:v>46266</x:v>
      </x:c>
    </x:row>
    <x:row r="439" ht="55" customHeight="1">
      <x:c r="A439" s="13" t="str">
        <x:v>28705066</x:v>
      </x:c>
      <x:c r="B439" s="14" t="d">
        <x:v>2026-09-30T00:00:00.000Z</x:v>
      </x:c>
      <x:c r="C439" s="15" t="str">
        <x:v>Checking or savings account</x:v>
      </x:c>
      <x:c r="D439" s="15" t="str">
        <x:v>Managing an account</x:v>
      </x:c>
      <x:c r="E439" s="15" t="str">
        <x:v>JPMORGAN CHASE &amp; CO.</x:v>
      </x:c>
      <x:c r="F439" s="15" t="str">
        <x:v>GA</x:v>
      </x:c>
      <x:c r="G439" s="15" t="str">
        <x:v>Yes</x:v>
      </x:c>
      <x:c r="H439" s="15" t="str">
        <x:v>Closed with explanation</x:v>
      </x:c>
      <x:c r="I439" s="15" t="str">
        <x:v>Web</x:v>
      </x:c>
      <x:c r="J439" s="16" t="d">
        <x:v>2026-09-30T00:00:00.000Z</x:v>
      </x:c>
      <x:c r="K439" s="15" t="str">
        <x:v>Checking account</x:v>
      </x:c>
      <x:c r="L439" s="15" t="str">
        <x:v>Deposits and withdrawals</x:v>
      </x:c>
      <x:c r="M439" s="15" t="str">
        <x:f>_xlfn.XLOOKUP(C439,'Lookups'!$A$7:$A$8,'Lookups'!$B$7:$B$8,"Unmapped",0)</x:f>
        <x:v>Deposit operations</x:v>
      </x:c>
      <x:c r="N439" s="14" t="n">
        <x:f>DATE(YEAR(B439),MONTH(B439),1)</x:f>
        <x:v>46266</x:v>
      </x:c>
    </x:row>
    <x:row r="440" ht="55" customHeight="1">
      <x:c r="A440" s="13" t="str">
        <x:v>28705078</x:v>
      </x:c>
      <x:c r="B440" s="14" t="d">
        <x:v>2026-09-30T00:00:00.000Z</x:v>
      </x:c>
      <x:c r="C440" s="15" t="str">
        <x:v>Checking or savings account</x:v>
      </x:c>
      <x:c r="D440" s="15" t="str">
        <x:v>Managing an account</x:v>
      </x:c>
      <x:c r="E440" s="15" t="str">
        <x:v>Chime Financial Inc</x:v>
      </x:c>
      <x:c r="F440" s="15" t="str">
        <x:v>CA</x:v>
      </x:c>
      <x:c r="G440" s="15" t="str">
        <x:v>Yes</x:v>
      </x:c>
      <x:c r="H440" s="15" t="str">
        <x:v>Closed with explanation</x:v>
      </x:c>
      <x:c r="I440" s="15" t="str">
        <x:v>Web</x:v>
      </x:c>
      <x:c r="J440" s="16" t="d">
        <x:v>2026-09-30T00:00:00.000Z</x:v>
      </x:c>
      <x:c r="K440" s="15" t="str">
        <x:v>Checking account</x:v>
      </x:c>
      <x:c r="L440" s="15" t="str">
        <x:v>Problem using a debit or ATM card</x:v>
      </x:c>
      <x:c r="M440" s="15" t="str">
        <x:f>_xlfn.XLOOKUP(C440,'Lookups'!$A$7:$A$8,'Lookups'!$B$7:$B$8,"Unmapped",0)</x:f>
        <x:v>Deposit operations</x:v>
      </x:c>
      <x:c r="N440" s="14" t="n">
        <x:f>DATE(YEAR(B440),MONTH(B440),1)</x:f>
        <x:v>46266</x:v>
      </x:c>
    </x:row>
    <x:row r="441" ht="55" customHeight="1">
      <x:c r="A441" s="13" t="str">
        <x:v>28705087</x:v>
      </x:c>
      <x:c r="B441" s="14" t="d">
        <x:v>2026-09-30T00:00:00.000Z</x:v>
      </x:c>
      <x:c r="C441" s="15" t="str">
        <x:v>Credit card</x:v>
      </x:c>
      <x:c r="D441" s="15" t="str">
        <x:v>Getting a credit card</x:v>
      </x:c>
      <x:c r="E441" s="15" t="str">
        <x:v>EQUIFAX, INC.</x:v>
      </x:c>
      <x:c r="F441" s="15" t="str">
        <x:v>PA</x:v>
      </x:c>
      <x:c r="G441" s="15" t="str">
        <x:v>Yes</x:v>
      </x:c>
      <x:c r="H441" s="15" t="str">
        <x:v>In progress</x:v>
      </x:c>
      <x:c r="I441" s="15" t="str">
        <x:v>Web</x:v>
      </x:c>
      <x:c r="J441" s="16" t="d">
        <x:v>2026-09-30T00:00:00.000Z</x:v>
      </x:c>
      <x:c r="K441" s="15" t="str">
        <x:v>General-purpose credit card or charge card</x:v>
      </x:c>
      <x:c r="L441" s="15" t="str">
        <x:v>Card opened without my consent or knowledge</x:v>
      </x:c>
      <x:c r="M441" s="15" t="str">
        <x:f>_xlfn.XLOOKUP(C441,'Lookups'!$A$7:$A$8,'Lookups'!$B$7:$B$8,"Unmapped",0)</x:f>
        <x:v>Card operations</x:v>
      </x:c>
      <x:c r="N441" s="14" t="n">
        <x:f>DATE(YEAR(B441),MONTH(B441),1)</x:f>
        <x:v>46266</x:v>
      </x:c>
    </x:row>
    <x:row r="442" ht="55" customHeight="1">
      <x:c r="A442" s="13" t="str">
        <x:v>28705291</x:v>
      </x:c>
      <x:c r="B442" s="14" t="d">
        <x:v>2026-09-30T00:00:00.000Z</x:v>
      </x:c>
      <x:c r="C442" s="15" t="str">
        <x:v>Credit card</x:v>
      </x:c>
      <x:c r="D442" s="15" t="str">
        <x:v>Problem when making payments</x:v>
      </x:c>
      <x:c r="E442" s="15" t="str">
        <x:v>Bread Financial Holdings, Inc.</x:v>
      </x:c>
      <x:c r="F442" s="15" t="str">
        <x:v>FL</x:v>
      </x:c>
      <x:c r="G442" s="15" t="str">
        <x:v>Yes</x:v>
      </x:c>
      <x:c r="H442" s="15" t="str">
        <x:v>Closed with explanation</x:v>
      </x:c>
      <x:c r="I442" s="15" t="str">
        <x:v>Web</x:v>
      </x:c>
      <x:c r="J442" s="16" t="d">
        <x:v>2026-09-30T00:00:00.000Z</x:v>
      </x:c>
      <x:c r="K442" s="15" t="str">
        <x:v>Store credit card</x:v>
      </x:c>
      <x:c r="L442" s="15" t="str">
        <x:v>You never received your bill or did not know a payment was due</x:v>
      </x:c>
      <x:c r="M442" s="15" t="str">
        <x:f>_xlfn.XLOOKUP(C442,'Lookups'!$A$7:$A$8,'Lookups'!$B$7:$B$8,"Unmapped",0)</x:f>
        <x:v>Card operations</x:v>
      </x:c>
      <x:c r="N442" s="14" t="n">
        <x:f>DATE(YEAR(B442),MONTH(B442),1)</x:f>
        <x:v>46266</x:v>
      </x:c>
    </x:row>
    <x:row r="443" ht="55" customHeight="1">
      <x:c r="A443" s="13" t="str">
        <x:v>28705315</x:v>
      </x:c>
      <x:c r="B443" s="14" t="d">
        <x:v>2026-09-30T00:00:00.000Z</x:v>
      </x:c>
      <x:c r="C443" s="15" t="str">
        <x:v>Credit card</x:v>
      </x:c>
      <x:c r="D443" s="15" t="str">
        <x:v>Problem with a purchase shown on your statement</x:v>
      </x:c>
      <x:c r="E443" s="15" t="str">
        <x:v>SYNCHRONY FINANCIAL</x:v>
      </x:c>
      <x:c r="F443" s="15" t="str">
        <x:v>FL</x:v>
      </x:c>
      <x:c r="G443" s="15" t="str">
        <x:v>Yes</x:v>
      </x:c>
      <x:c r="H443" s="15" t="str">
        <x:v>In progress</x:v>
      </x:c>
      <x:c r="I443" s="15" t="str">
        <x:v>Phone</x:v>
      </x:c>
      <x:c r="J443" s="16" t="d">
        <x:v>2026-09-30T00:00:00.000Z</x:v>
      </x:c>
      <x:c r="K443" s="15" t="str">
        <x:v>General-purpose credit card or charge card</x:v>
      </x:c>
      <x:c r="L443" s="15" t="str">
        <x:v>Credit card company isn't resolving a dispute about a purchase on your statement</x:v>
      </x:c>
      <x:c r="M443" s="15" t="str">
        <x:f>_xlfn.XLOOKUP(C443,'Lookups'!$A$7:$A$8,'Lookups'!$B$7:$B$8,"Unmapped",0)</x:f>
        <x:v>Card operations</x:v>
      </x:c>
      <x:c r="N443" s="14" t="n">
        <x:f>DATE(YEAR(B443),MONTH(B443),1)</x:f>
        <x:v>46266</x:v>
      </x:c>
    </x:row>
    <x:row r="444" ht="55" customHeight="1">
      <x:c r="A444" s="13" t="str">
        <x:v>28705880</x:v>
      </x:c>
      <x:c r="B444" s="14" t="d">
        <x:v>2026-09-30T00:00:00.000Z</x:v>
      </x:c>
      <x:c r="C444" s="15" t="str">
        <x:v>Credit card</x:v>
      </x:c>
      <x:c r="D444" s="15" t="str">
        <x:v>Other features, terms, or problems</x:v>
      </x:c>
      <x:c r="E444" s="15" t="str">
        <x:v>ROBINHOOD MARKETS INC.</x:v>
      </x:c>
      <x:c r="F444" s="15" t="str">
        <x:v>WI</x:v>
      </x:c>
      <x:c r="G444" s="15" t="str">
        <x:v>Yes</x:v>
      </x:c>
      <x:c r="H444" s="15" t="str">
        <x:v>In progress</x:v>
      </x:c>
      <x:c r="I444" s="15" t="str">
        <x:v>Web</x:v>
      </x:c>
      <x:c r="J444" s="16" t="d">
        <x:v>2026-09-30T00:00:00.000Z</x:v>
      </x:c>
      <x:c r="K444" s="15" t="str">
        <x:v>General-purpose credit card or charge card</x:v>
      </x:c>
      <x:c r="L444" s="15" t="str">
        <x:v>Problem with rewards from credit card</x:v>
      </x:c>
      <x:c r="M444" s="15" t="str">
        <x:f>_xlfn.XLOOKUP(C444,'Lookups'!$A$7:$A$8,'Lookups'!$B$7:$B$8,"Unmapped",0)</x:f>
        <x:v>Card operations</x:v>
      </x:c>
      <x:c r="N444" s="14" t="n">
        <x:f>DATE(YEAR(B444),MONTH(B444),1)</x:f>
        <x:v>46266</x:v>
      </x:c>
    </x:row>
    <x:row r="445" ht="55" customHeight="1">
      <x:c r="A445" s="13" t="str">
        <x:v>28705886</x:v>
      </x:c>
      <x:c r="B445" s="14" t="d">
        <x:v>2026-09-30T00:00:00.000Z</x:v>
      </x:c>
      <x:c r="C445" s="15" t="str">
        <x:v>Checking or savings account</x:v>
      </x:c>
      <x:c r="D445" s="15" t="str">
        <x:v>Closing an account</x:v>
      </x:c>
      <x:c r="E445" s="15" t="str">
        <x:v>Chime Financial Inc</x:v>
      </x:c>
      <x:c r="F445" s="15" t="str">
        <x:v>TX</x:v>
      </x:c>
      <x:c r="G445" s="15" t="str">
        <x:v>Yes</x:v>
      </x:c>
      <x:c r="H445" s="15" t="str">
        <x:v>In progress</x:v>
      </x:c>
      <x:c r="I445" s="15" t="str">
        <x:v>Web</x:v>
      </x:c>
      <x:c r="J445" s="16" t="d">
        <x:v>2026-09-30T00:00:00.000Z</x:v>
      </x:c>
      <x:c r="K445" s="15" t="str">
        <x:v>Checking account</x:v>
      </x:c>
      <x:c r="L445" s="15" t="str">
        <x:v>Funds not received from closed account</x:v>
      </x:c>
      <x:c r="M445" s="15" t="str">
        <x:f>_xlfn.XLOOKUP(C445,'Lookups'!$A$7:$A$8,'Lookups'!$B$7:$B$8,"Unmapped",0)</x:f>
        <x:v>Deposit operations</x:v>
      </x:c>
      <x:c r="N445" s="14" t="n">
        <x:f>DATE(YEAR(B445),MONTH(B445),1)</x:f>
        <x:v>46266</x:v>
      </x:c>
    </x:row>
    <x:row r="446" ht="55" customHeight="1">
      <x:c r="A446" s="13" t="str">
        <x:v>28705943</x:v>
      </x:c>
      <x:c r="B446" s="14" t="d">
        <x:v>2026-09-30T00:00:00.000Z</x:v>
      </x:c>
      <x:c r="C446" s="15" t="str">
        <x:v>Checking or savings account</x:v>
      </x:c>
      <x:c r="D446" s="15" t="str">
        <x:v>Managing an account</x:v>
      </x:c>
      <x:c r="E446" s="15" t="str">
        <x:v>CAPITAL ONE FINANCIAL CORPORATION</x:v>
      </x:c>
      <x:c r="F446" s="15" t="str">
        <x:v>MD</x:v>
      </x:c>
      <x:c r="G446" s="15" t="str">
        <x:v>Yes</x:v>
      </x:c>
      <x:c r="H446" s="15" t="str">
        <x:v>Closed with explanation</x:v>
      </x:c>
      <x:c r="I446" s="15" t="str">
        <x:v>Phone</x:v>
      </x:c>
      <x:c r="J446" s="16" t="d">
        <x:v>2026-09-30T00:00:00.000Z</x:v>
      </x:c>
      <x:c r="K446" s="15" t="str">
        <x:v>Checking account</x:v>
      </x:c>
      <x:c r="L446" s="15" t="str">
        <x:v>Problem using a debit or ATM card</x:v>
      </x:c>
      <x:c r="M446" s="15" t="str">
        <x:f>_xlfn.XLOOKUP(C446,'Lookups'!$A$7:$A$8,'Lookups'!$B$7:$B$8,"Unmapped",0)</x:f>
        <x:v>Deposit operations</x:v>
      </x:c>
      <x:c r="N446" s="14" t="n">
        <x:f>DATE(YEAR(B446),MONTH(B446),1)</x:f>
        <x:v>46266</x:v>
      </x:c>
    </x:row>
    <x:row r="447" ht="55" customHeight="1">
      <x:c r="A447" s="13" t="str">
        <x:v>28705945</x:v>
      </x:c>
      <x:c r="B447" s="14" t="d">
        <x:v>2026-09-30T00:00:00.000Z</x:v>
      </x:c>
      <x:c r="C447" s="15" t="str">
        <x:v>Checking or savings account</x:v>
      </x:c>
      <x:c r="D447" s="15" t="str">
        <x:v>Managing an account</x:v>
      </x:c>
      <x:c r="E447" s="15" t="str">
        <x:v>UNITED SERVICES AUTOMOBILE ASSOCIATION</x:v>
      </x:c>
      <x:c r="F447" s="15" t="str">
        <x:v>WA</x:v>
      </x:c>
      <x:c r="G447" s="15" t="str">
        <x:v>Yes</x:v>
      </x:c>
      <x:c r="H447" s="15" t="str">
        <x:v>Closed with explanation</x:v>
      </x:c>
      <x:c r="I447" s="15" t="str">
        <x:v>Web</x:v>
      </x:c>
      <x:c r="J447" s="16" t="d">
        <x:v>2026-09-30T00:00:00.000Z</x:v>
      </x:c>
      <x:c r="K447" s="15" t="str">
        <x:v>Checking account</x:v>
      </x:c>
      <x:c r="L447" s="15" t="str">
        <x:v>Problem accessing account</x:v>
      </x:c>
      <x:c r="M447" s="15" t="str">
        <x:f>_xlfn.XLOOKUP(C447,'Lookups'!$A$7:$A$8,'Lookups'!$B$7:$B$8,"Unmapped",0)</x:f>
        <x:v>Deposit operations</x:v>
      </x:c>
      <x:c r="N447" s="14" t="n">
        <x:f>DATE(YEAR(B447),MONTH(B447),1)</x:f>
        <x:v>46266</x:v>
      </x:c>
    </x:row>
    <x:row r="448" ht="55" customHeight="1">
      <x:c r="A448" s="13" t="str">
        <x:v>28706123</x:v>
      </x:c>
      <x:c r="B448" s="14" t="d">
        <x:v>2026-09-30T00:00:00.000Z</x:v>
      </x:c>
      <x:c r="C448" s="15" t="str">
        <x:v>Credit card</x:v>
      </x:c>
      <x:c r="D448" s="15" t="str">
        <x:v>Problem with a purchase shown on your statement</x:v>
      </x:c>
      <x:c r="E448" s="15" t="str">
        <x:v>OneMain Finance Corporation</x:v>
      </x:c>
      <x:c r="F448" s="15" t="str">
        <x:v>IL</x:v>
      </x:c>
      <x:c r="G448" s="15" t="str">
        <x:v>Yes</x:v>
      </x:c>
      <x:c r="H448" s="15" t="str">
        <x:v>In progress</x:v>
      </x:c>
      <x:c r="I448" s="15" t="str">
        <x:v>Web</x:v>
      </x:c>
      <x:c r="J448" s="16" t="d">
        <x:v>2026-09-30T00:00:00.000Z</x:v>
      </x:c>
      <x:c r="K448" s="15" t="str">
        <x:v>General-purpose credit card or charge card</x:v>
      </x:c>
      <x:c r="L448" s="15" t="str">
        <x:v>Card was charged for something you did not purchase with the card</x:v>
      </x:c>
      <x:c r="M448" s="15" t="str">
        <x:f>_xlfn.XLOOKUP(C448,'Lookups'!$A$7:$A$8,'Lookups'!$B$7:$B$8,"Unmapped",0)</x:f>
        <x:v>Card operations</x:v>
      </x:c>
      <x:c r="N448" s="14" t="n">
        <x:f>DATE(YEAR(B448),MONTH(B448),1)</x:f>
        <x:v>46266</x:v>
      </x:c>
    </x:row>
    <x:row r="449" ht="55" customHeight="1">
      <x:c r="A449" s="13" t="str">
        <x:v>28706268</x:v>
      </x:c>
      <x:c r="B449" s="14" t="d">
        <x:v>2026-09-30T00:00:00.000Z</x:v>
      </x:c>
      <x:c r="C449" s="15" t="str">
        <x:v>Checking or savings account</x:v>
      </x:c>
      <x:c r="D449" s="15" t="str">
        <x:v>Closing an account</x:v>
      </x:c>
      <x:c r="E449" s="15" t="str">
        <x:v>FinCo Services Inc DBA Current</x:v>
      </x:c>
      <x:c r="F449" s="15" t="str">
        <x:v>CA</x:v>
      </x:c>
      <x:c r="G449" s="15" t="str">
        <x:v>Yes</x:v>
      </x:c>
      <x:c r="H449" s="15" t="str">
        <x:v>In progress</x:v>
      </x:c>
      <x:c r="I449" s="15" t="str">
        <x:v>Web</x:v>
      </x:c>
      <x:c r="J449" s="16" t="d">
        <x:v>2026-09-30T00:00:00.000Z</x:v>
      </x:c>
      <x:c r="K449" s="15" t="str">
        <x:v>Checking account</x:v>
      </x:c>
      <x:c r="L449" s="15" t="str">
        <x:v>Funds not received from closed account</x:v>
      </x:c>
      <x:c r="M449" s="15" t="str">
        <x:f>_xlfn.XLOOKUP(C449,'Lookups'!$A$7:$A$8,'Lookups'!$B$7:$B$8,"Unmapped",0)</x:f>
        <x:v>Deposit operations</x:v>
      </x:c>
      <x:c r="N449" s="14" t="n">
        <x:f>DATE(YEAR(B449),MONTH(B449),1)</x:f>
        <x:v>46266</x:v>
      </x:c>
    </x:row>
    <x:row r="450" ht="55" customHeight="1">
      <x:c r="A450" s="13" t="str">
        <x:v>28706624</x:v>
      </x:c>
      <x:c r="B450" s="14" t="d">
        <x:v>2026-09-30T00:00:00.000Z</x:v>
      </x:c>
      <x:c r="C450" s="15" t="str">
        <x:v>Credit card</x:v>
      </x:c>
      <x:c r="D450" s="15" t="str">
        <x:v>Fees or interest</x:v>
      </x:c>
      <x:c r="E450" s="15" t="str">
        <x:v>SYNCHRONY FINANCIAL</x:v>
      </x:c>
      <x:c r="F450" s="15" t="str">
        <x:v>Unknown</x:v>
      </x:c>
      <x:c r="G450" s="15" t="str">
        <x:v>Yes</x:v>
      </x:c>
      <x:c r="H450" s="15" t="str">
        <x:v>In progress</x:v>
      </x:c>
      <x:c r="I450" s="15" t="str">
        <x:v>Web</x:v>
      </x:c>
      <x:c r="J450" s="16" t="d">
        <x:v>2026-09-30T00:00:00.000Z</x:v>
      </x:c>
      <x:c r="K450" s="15" t="str">
        <x:v>Store credit card</x:v>
      </x:c>
      <x:c r="L450" s="15" t="str">
        <x:v>Charged too much interest</x:v>
      </x:c>
      <x:c r="M450" s="15" t="str">
        <x:f>_xlfn.XLOOKUP(C450,'Lookups'!$A$7:$A$8,'Lookups'!$B$7:$B$8,"Unmapped",0)</x:f>
        <x:v>Card operations</x:v>
      </x:c>
      <x:c r="N450" s="14" t="n">
        <x:f>DATE(YEAR(B450),MONTH(B450),1)</x:f>
        <x:v>46266</x:v>
      </x:c>
    </x:row>
    <x:row r="451" ht="55" customHeight="1">
      <x:c r="A451" s="13" t="str">
        <x:v>28706640</x:v>
      </x:c>
      <x:c r="B451" s="14" t="d">
        <x:v>2026-09-30T00:00:00.000Z</x:v>
      </x:c>
      <x:c r="C451" s="15" t="str">
        <x:v>Checking or savings account</x:v>
      </x:c>
      <x:c r="D451" s="15" t="str">
        <x:v>Opening an account</x:v>
      </x:c>
      <x:c r="E451" s="15" t="str">
        <x:v>U.S. BANCORP</x:v>
      </x:c>
      <x:c r="F451" s="15" t="str">
        <x:v>CA</x:v>
      </x:c>
      <x:c r="G451" s="15" t="str">
        <x:v>Yes</x:v>
      </x:c>
      <x:c r="H451" s="15" t="str">
        <x:v>Closed with explanation</x:v>
      </x:c>
      <x:c r="I451" s="15" t="str">
        <x:v>Web</x:v>
      </x:c>
      <x:c r="J451" s="16" t="d">
        <x:v>2026-09-30T00:00:00.000Z</x:v>
      </x:c>
      <x:c r="K451" s="15" t="str">
        <x:v>Checking account</x:v>
      </x:c>
      <x:c r="L451" s="15" t="str">
        <x:v>Account opened without my consent or knowledge</x:v>
      </x:c>
      <x:c r="M451" s="15" t="str">
        <x:f>_xlfn.XLOOKUP(C451,'Lookups'!$A$7:$A$8,'Lookups'!$B$7:$B$8,"Unmapped",0)</x:f>
        <x:v>Deposit operations</x:v>
      </x:c>
      <x:c r="N451" s="14" t="n">
        <x:f>DATE(YEAR(B451),MONTH(B451),1)</x:f>
        <x:v>46266</x:v>
      </x:c>
    </x:row>
    <x:row r="452" ht="55" customHeight="1">
      <x:c r="A452" s="13" t="str">
        <x:v>28706688</x:v>
      </x:c>
      <x:c r="B452" s="14" t="d">
        <x:v>2026-09-30T00:00:00.000Z</x:v>
      </x:c>
      <x:c r="C452" s="15" t="str">
        <x:v>Checking or savings account</x:v>
      </x:c>
      <x:c r="D452" s="15" t="str">
        <x:v>Problem with a lender or other company charging your account</x:v>
      </x:c>
      <x:c r="E452" s="15" t="str">
        <x:v>TRUIST FINANCIAL CORPORATION</x:v>
      </x:c>
      <x:c r="F452" s="15" t="str">
        <x:v>NY</x:v>
      </x:c>
      <x:c r="G452" s="15" t="str">
        <x:v>Yes</x:v>
      </x:c>
      <x:c r="H452" s="15" t="str">
        <x:v>In progress</x:v>
      </x:c>
      <x:c r="I452" s="15" t="str">
        <x:v>Web</x:v>
      </x:c>
      <x:c r="J452" s="16" t="d">
        <x:v>2026-09-30T00:00:00.000Z</x:v>
      </x:c>
      <x:c r="K452" s="15" t="str">
        <x:v>Checking account</x:v>
      </x:c>
      <x:c r="L452" s="15" t="str">
        <x:v>Transaction was not authorized</x:v>
      </x:c>
      <x:c r="M452" s="15" t="str">
        <x:f>_xlfn.XLOOKUP(C452,'Lookups'!$A$7:$A$8,'Lookups'!$B$7:$B$8,"Unmapped",0)</x:f>
        <x:v>Deposit operations</x:v>
      </x:c>
      <x:c r="N452" s="14" t="n">
        <x:f>DATE(YEAR(B452),MONTH(B452),1)</x:f>
        <x:v>46266</x:v>
      </x:c>
    </x:row>
    <x:row r="453" ht="55" customHeight="1">
      <x:c r="A453" s="13" t="str">
        <x:v>28706700</x:v>
      </x:c>
      <x:c r="B453" s="14" t="d">
        <x:v>2026-09-30T00:00:00.000Z</x:v>
      </x:c>
      <x:c r="C453" s="15" t="str">
        <x:v>Credit card</x:v>
      </x:c>
      <x:c r="D453" s="15" t="str">
        <x:v>Other features, terms, or problems</x:v>
      </x:c>
      <x:c r="E453" s="15" t="str">
        <x:v>BANK OF AMERICA, NATIONAL ASSOCIATION</x:v>
      </x:c>
      <x:c r="F453" s="15" t="str">
        <x:v>WA</x:v>
      </x:c>
      <x:c r="G453" s="15" t="str">
        <x:v>Yes</x:v>
      </x:c>
      <x:c r="H453" s="15" t="str">
        <x:v>In progress</x:v>
      </x:c>
      <x:c r="I453" s="15" t="str">
        <x:v>Referral</x:v>
      </x:c>
      <x:c r="J453" s="16" t="d">
        <x:v>2026-09-30T00:00:00.000Z</x:v>
      </x:c>
      <x:c r="K453" s="15" t="str">
        <x:v>General-purpose credit card or charge card</x:v>
      </x:c>
      <x:c r="L453" s="15" t="str">
        <x:v>Other problem</x:v>
      </x:c>
      <x:c r="M453" s="15" t="str">
        <x:f>_xlfn.XLOOKUP(C453,'Lookups'!$A$7:$A$8,'Lookups'!$B$7:$B$8,"Unmapped",0)</x:f>
        <x:v>Card operations</x:v>
      </x:c>
      <x:c r="N453" s="14" t="n">
        <x:f>DATE(YEAR(B453),MONTH(B453),1)</x:f>
        <x:v>46266</x:v>
      </x:c>
    </x:row>
    <x:row r="454" ht="55" customHeight="1">
      <x:c r="A454" s="13" t="str">
        <x:v>28706711</x:v>
      </x:c>
      <x:c r="B454" s="14" t="d">
        <x:v>2026-09-30T00:00:00.000Z</x:v>
      </x:c>
      <x:c r="C454" s="15" t="str">
        <x:v>Credit card</x:v>
      </x:c>
      <x:c r="D454" s="15" t="str">
        <x:v>Problem with a purchase shown on your statement</x:v>
      </x:c>
      <x:c r="E454" s="15" t="str">
        <x:v>CAPITAL ONE FINANCIAL CORPORATION</x:v>
      </x:c>
      <x:c r="F454" s="15" t="str">
        <x:v>TX</x:v>
      </x:c>
      <x:c r="G454" s="15" t="str">
        <x:v>Yes</x:v>
      </x:c>
      <x:c r="H454" s="15" t="str">
        <x:v>In progress</x:v>
      </x:c>
      <x:c r="I454" s="15" t="str">
        <x:v>Web</x:v>
      </x:c>
      <x:c r="J454" s="16" t="d">
        <x:v>2026-09-30T00:00:00.000Z</x:v>
      </x:c>
      <x:c r="K454" s="15" t="str">
        <x:v>General-purpose credit card or charge card</x:v>
      </x:c>
      <x:c r="L454" s="15" t="str">
        <x:v>Credit card company isn't resolving a dispute about a purchase on your statement</x:v>
      </x:c>
      <x:c r="M454" s="15" t="str">
        <x:f>_xlfn.XLOOKUP(C454,'Lookups'!$A$7:$A$8,'Lookups'!$B$7:$B$8,"Unmapped",0)</x:f>
        <x:v>Card operations</x:v>
      </x:c>
      <x:c r="N454" s="14" t="n">
        <x:f>DATE(YEAR(B454),MONTH(B454),1)</x:f>
        <x:v>46266</x:v>
      </x:c>
    </x:row>
    <x:row r="455" ht="55" customHeight="1">
      <x:c r="A455" s="13" t="str">
        <x:v>28706830</x:v>
      </x:c>
      <x:c r="B455" s="14" t="d">
        <x:v>2026-09-30T00:00:00.000Z</x:v>
      </x:c>
      <x:c r="C455" s="15" t="str">
        <x:v>Credit card</x:v>
      </x:c>
      <x:c r="D455" s="15" t="str">
        <x:v>Other features, terms, or problems</x:v>
      </x:c>
      <x:c r="E455" s="15" t="str">
        <x:v>Bilt Technologies, Inc.</x:v>
      </x:c>
      <x:c r="F455" s="15" t="str">
        <x:v>Unknown</x:v>
      </x:c>
      <x:c r="G455" s="15" t="str">
        <x:v>Yes</x:v>
      </x:c>
      <x:c r="H455" s="15" t="str">
        <x:v>Closed with explanation</x:v>
      </x:c>
      <x:c r="I455" s="15" t="str">
        <x:v>Web</x:v>
      </x:c>
      <x:c r="J455" s="16" t="d">
        <x:v>2026-09-30T00:00:00.000Z</x:v>
      </x:c>
      <x:c r="K455" s="15" t="str">
        <x:v>General-purpose credit card or charge card</x:v>
      </x:c>
      <x:c r="L455" s="15" t="str">
        <x:v>Other problem</x:v>
      </x:c>
      <x:c r="M455" s="15" t="str">
        <x:f>_xlfn.XLOOKUP(C455,'Lookups'!$A$7:$A$8,'Lookups'!$B$7:$B$8,"Unmapped",0)</x:f>
        <x:v>Card operations</x:v>
      </x:c>
      <x:c r="N455" s="14" t="n">
        <x:f>DATE(YEAR(B455),MONTH(B455),1)</x:f>
        <x:v>46266</x:v>
      </x:c>
    </x:row>
    <x:row r="456" ht="55" customHeight="1">
      <x:c r="A456" s="13" t="str">
        <x:v>28706887</x:v>
      </x:c>
      <x:c r="B456" s="14" t="d">
        <x:v>2026-09-30T00:00:00.000Z</x:v>
      </x:c>
      <x:c r="C456" s="15" t="str">
        <x:v>Checking or savings account</x:v>
      </x:c>
      <x:c r="D456" s="15" t="str">
        <x:v>Managing an account</x:v>
      </x:c>
      <x:c r="E456" s="15" t="str">
        <x:v>BANK OF AMERICA, NATIONAL ASSOCIATION</x:v>
      </x:c>
      <x:c r="F456" s="15" t="str">
        <x:v>WA</x:v>
      </x:c>
      <x:c r="G456" s="15" t="str">
        <x:v>Yes</x:v>
      </x:c>
      <x:c r="H456" s="15" t="str">
        <x:v>In progress</x:v>
      </x:c>
      <x:c r="I456" s="15" t="str">
        <x:v>Web</x:v>
      </x:c>
      <x:c r="J456" s="16" t="d">
        <x:v>2026-09-30T00:00:00.000Z</x:v>
      </x:c>
      <x:c r="K456" s="15" t="str">
        <x:v>Checking account</x:v>
      </x:c>
      <x:c r="L456" s="15" t="str">
        <x:v>Problem using a debit or ATM card</x:v>
      </x:c>
      <x:c r="M456" s="15" t="str">
        <x:f>_xlfn.XLOOKUP(C456,'Lookups'!$A$7:$A$8,'Lookups'!$B$7:$B$8,"Unmapped",0)</x:f>
        <x:v>Deposit operations</x:v>
      </x:c>
      <x:c r="N456" s="14" t="n">
        <x:f>DATE(YEAR(B456),MONTH(B456),1)</x:f>
        <x:v>46266</x:v>
      </x:c>
    </x:row>
    <x:row r="457" ht="55" customHeight="1">
      <x:c r="A457" s="13" t="str">
        <x:v>28707002</x:v>
      </x:c>
      <x:c r="B457" s="14" t="d">
        <x:v>2026-09-30T00:00:00.000Z</x:v>
      </x:c>
      <x:c r="C457" s="15" t="str">
        <x:v>Checking or savings account</x:v>
      </x:c>
      <x:c r="D457" s="15" t="str">
        <x:v>Problem caused by your funds being low</x:v>
      </x:c>
      <x:c r="E457" s="15" t="str">
        <x:v>REGIONS FINANCIAL CORPORATION</x:v>
      </x:c>
      <x:c r="F457" s="15" t="str">
        <x:v>TN</x:v>
      </x:c>
      <x:c r="G457" s="15" t="str">
        <x:v>Yes</x:v>
      </x:c>
      <x:c r="H457" s="15" t="str">
        <x:v>In progress</x:v>
      </x:c>
      <x:c r="I457" s="15" t="str">
        <x:v>Web</x:v>
      </x:c>
      <x:c r="J457" s="16" t="d">
        <x:v>2026-09-30T00:00:00.000Z</x:v>
      </x:c>
      <x:c r="K457" s="15" t="str">
        <x:v>Checking account</x:v>
      </x:c>
      <x:c r="L457" s="15" t="str">
        <x:v>Overdrafts and overdraft fees</x:v>
      </x:c>
      <x:c r="M457" s="15" t="str">
        <x:f>_xlfn.XLOOKUP(C457,'Lookups'!$A$7:$A$8,'Lookups'!$B$7:$B$8,"Unmapped",0)</x:f>
        <x:v>Deposit operations</x:v>
      </x:c>
      <x:c r="N457" s="14" t="n">
        <x:f>DATE(YEAR(B457),MONTH(B457),1)</x:f>
        <x:v>46266</x:v>
      </x:c>
    </x:row>
    <x:row r="458" ht="55" customHeight="1">
      <x:c r="A458" s="13" t="str">
        <x:v>28707014</x:v>
      </x:c>
      <x:c r="B458" s="14" t="d">
        <x:v>2026-09-30T00:00:00.000Z</x:v>
      </x:c>
      <x:c r="C458" s="15" t="str">
        <x:v>Credit card</x:v>
      </x:c>
      <x:c r="D458" s="15" t="str">
        <x:v>Problem with a purchase shown on your statement</x:v>
      </x:c>
      <x:c r="E458" s="15" t="str">
        <x:v>CITIBANK, N.A.</x:v>
      </x:c>
      <x:c r="F458" s="15" t="str">
        <x:v>NY</x:v>
      </x:c>
      <x:c r="G458" s="15" t="str">
        <x:v>Yes</x:v>
      </x:c>
      <x:c r="H458" s="15" t="str">
        <x:v>Closed with monetary relief</x:v>
      </x:c>
      <x:c r="I458" s="15" t="str">
        <x:v>Web</x:v>
      </x:c>
      <x:c r="J458" s="16" t="d">
        <x:v>2026-09-30T00:00:00.000Z</x:v>
      </x:c>
      <x:c r="K458" s="15" t="str">
        <x:v>General-purpose credit card or charge card</x:v>
      </x:c>
      <x:c r="L458" s="15" t="str">
        <x:v>Credit card company isn't resolving a dispute about a purchase on your statement</x:v>
      </x:c>
      <x:c r="M458" s="15" t="str">
        <x:f>_xlfn.XLOOKUP(C458,'Lookups'!$A$7:$A$8,'Lookups'!$B$7:$B$8,"Unmapped",0)</x:f>
        <x:v>Card operations</x:v>
      </x:c>
      <x:c r="N458" s="14" t="n">
        <x:f>DATE(YEAR(B458),MONTH(B458),1)</x:f>
        <x:v>46266</x:v>
      </x:c>
    </x:row>
    <x:row r="459" ht="55" customHeight="1">
      <x:c r="A459" s="13" t="str">
        <x:v>28707261</x:v>
      </x:c>
      <x:c r="B459" s="14" t="d">
        <x:v>2026-09-30T00:00:00.000Z</x:v>
      </x:c>
      <x:c r="C459" s="15" t="str">
        <x:v>Credit card</x:v>
      </x:c>
      <x:c r="D459" s="15" t="str">
        <x:v>Problem with a purchase shown on your statement</x:v>
      </x:c>
      <x:c r="E459" s="15" t="str">
        <x:v>TD BANK US HOLDING COMPANY</x:v>
      </x:c>
      <x:c r="F459" s="15" t="str">
        <x:v>FL</x:v>
      </x:c>
      <x:c r="G459" s="15" t="str">
        <x:v>Yes</x:v>
      </x:c>
      <x:c r="H459" s="15" t="str">
        <x:v>Closed with explanation</x:v>
      </x:c>
      <x:c r="I459" s="15" t="str">
        <x:v>Web</x:v>
      </x:c>
      <x:c r="J459" s="16" t="d">
        <x:v>2026-09-30T00:00:00.000Z</x:v>
      </x:c>
      <x:c r="K459" s="15" t="str">
        <x:v>General-purpose credit card or charge card</x:v>
      </x:c>
      <x:c r="L459" s="15" t="str">
        <x:v>Credit card company isn't resolving a dispute about a purchase on your statement</x:v>
      </x:c>
      <x:c r="M459" s="15" t="str">
        <x:f>_xlfn.XLOOKUP(C459,'Lookups'!$A$7:$A$8,'Lookups'!$B$7:$B$8,"Unmapped",0)</x:f>
        <x:v>Card operations</x:v>
      </x:c>
      <x:c r="N459" s="14" t="n">
        <x:f>DATE(YEAR(B459),MONTH(B459),1)</x:f>
        <x:v>46266</x:v>
      </x:c>
    </x:row>
    <x:row r="460" ht="55" customHeight="1">
      <x:c r="A460" s="13" t="str">
        <x:v>28707310</x:v>
      </x:c>
      <x:c r="B460" s="14" t="d">
        <x:v>2026-09-30T00:00:00.000Z</x:v>
      </x:c>
      <x:c r="C460" s="15" t="str">
        <x:v>Checking or savings account</x:v>
      </x:c>
      <x:c r="D460" s="15" t="str">
        <x:v>Managing an account</x:v>
      </x:c>
      <x:c r="E460" s="15" t="str">
        <x:v>STATE EMPLOYEES’ CREDIT UNION</x:v>
      </x:c>
      <x:c r="F460" s="15" t="str">
        <x:v>NC</x:v>
      </x:c>
      <x:c r="G460" s="15" t="str">
        <x:v>Yes</x:v>
      </x:c>
      <x:c r="H460" s="15" t="str">
        <x:v>Closed with explanation</x:v>
      </x:c>
      <x:c r="I460" s="15" t="str">
        <x:v>Web</x:v>
      </x:c>
      <x:c r="J460" s="16" t="d">
        <x:v>2026-09-30T00:00:00.000Z</x:v>
      </x:c>
      <x:c r="K460" s="15" t="str">
        <x:v>Checking account</x:v>
      </x:c>
      <x:c r="L460" s="15" t="str">
        <x:v>Problem making or receiving payments</x:v>
      </x:c>
      <x:c r="M460" s="15" t="str">
        <x:f>_xlfn.XLOOKUP(C460,'Lookups'!$A$7:$A$8,'Lookups'!$B$7:$B$8,"Unmapped",0)</x:f>
        <x:v>Deposit operations</x:v>
      </x:c>
      <x:c r="N460" s="14" t="n">
        <x:f>DATE(YEAR(B460),MONTH(B460),1)</x:f>
        <x:v>46266</x:v>
      </x:c>
    </x:row>
    <x:row r="461" ht="55" customHeight="1">
      <x:c r="A461" s="13" t="str">
        <x:v>28707424</x:v>
      </x:c>
      <x:c r="B461" s="14" t="d">
        <x:v>2026-09-30T00:00:00.000Z</x:v>
      </x:c>
      <x:c r="C461" s="15" t="str">
        <x:v>Credit card</x:v>
      </x:c>
      <x:c r="D461" s="15" t="str">
        <x:v>Fees or interest</x:v>
      </x:c>
      <x:c r="E461" s="15" t="str">
        <x:v>SYNCHRONY FINANCIAL</x:v>
      </x:c>
      <x:c r="F461" s="15" t="str">
        <x:v>CA</x:v>
      </x:c>
      <x:c r="G461" s="15" t="str">
        <x:v>Yes</x:v>
      </x:c>
      <x:c r="H461" s="15" t="str">
        <x:v>In progress</x:v>
      </x:c>
      <x:c r="I461" s="15" t="str">
        <x:v>Web</x:v>
      </x:c>
      <x:c r="J461" s="16" t="d">
        <x:v>2026-09-30T00:00:00.000Z</x:v>
      </x:c>
      <x:c r="K461" s="15" t="str">
        <x:v>General-purpose credit card or charge card</x:v>
      </x:c>
      <x:c r="L461" s="15" t="str">
        <x:v>Charged too much interest</x:v>
      </x:c>
      <x:c r="M461" s="15" t="str">
        <x:f>_xlfn.XLOOKUP(C461,'Lookups'!$A$7:$A$8,'Lookups'!$B$7:$B$8,"Unmapped",0)</x:f>
        <x:v>Card operations</x:v>
      </x:c>
      <x:c r="N461" s="14" t="n">
        <x:f>DATE(YEAR(B461),MONTH(B461),1)</x:f>
        <x:v>46266</x:v>
      </x:c>
    </x:row>
    <x:row r="462" ht="55" customHeight="1">
      <x:c r="A462" s="13" t="str">
        <x:v>28707687</x:v>
      </x:c>
      <x:c r="B462" s="14" t="d">
        <x:v>2026-09-30T00:00:00.000Z</x:v>
      </x:c>
      <x:c r="C462" s="15" t="str">
        <x:v>Checking or savings account</x:v>
      </x:c>
      <x:c r="D462" s="15" t="str">
        <x:v>Managing an account</x:v>
      </x:c>
      <x:c r="E462" s="15" t="str">
        <x:v>UNITED SERVICES AUTOMOBILE ASSOCIATION</x:v>
      </x:c>
      <x:c r="F462" s="15" t="str">
        <x:v>VA</x:v>
      </x:c>
      <x:c r="G462" s="15" t="str">
        <x:v>Yes</x:v>
      </x:c>
      <x:c r="H462" s="15" t="str">
        <x:v>Closed with explanation</x:v>
      </x:c>
      <x:c r="I462" s="15" t="str">
        <x:v>Web</x:v>
      </x:c>
      <x:c r="J462" s="16" t="d">
        <x:v>2026-09-30T00:00:00.000Z</x:v>
      </x:c>
      <x:c r="K462" s="15" t="str">
        <x:v>Savings account</x:v>
      </x:c>
      <x:c r="L462" s="15" t="str">
        <x:v>Funds not handled or disbursed as instructed</x:v>
      </x:c>
      <x:c r="M462" s="15" t="str">
        <x:f>_xlfn.XLOOKUP(C462,'Lookups'!$A$7:$A$8,'Lookups'!$B$7:$B$8,"Unmapped",0)</x:f>
        <x:v>Deposit operations</x:v>
      </x:c>
      <x:c r="N462" s="14" t="n">
        <x:f>DATE(YEAR(B462),MONTH(B462),1)</x:f>
        <x:v>46266</x:v>
      </x:c>
    </x:row>
    <x:row r="463" ht="55" customHeight="1">
      <x:c r="A463" s="13" t="str">
        <x:v>28707875</x:v>
      </x:c>
      <x:c r="B463" s="14" t="d">
        <x:v>2026-09-30T00:00:00.000Z</x:v>
      </x:c>
      <x:c r="C463" s="15" t="str">
        <x:v>Checking or savings account</x:v>
      </x:c>
      <x:c r="D463" s="15" t="str">
        <x:v>Problem with a lender or other company charging your account</x:v>
      </x:c>
      <x:c r="E463" s="15" t="str">
        <x:v>Chime Financial Inc</x:v>
      </x:c>
      <x:c r="F463" s="15" t="str">
        <x:v>PA</x:v>
      </x:c>
      <x:c r="G463" s="15" t="str">
        <x:v>Yes</x:v>
      </x:c>
      <x:c r="H463" s="15" t="str">
        <x:v>In progress</x:v>
      </x:c>
      <x:c r="I463" s="15" t="str">
        <x:v>Web</x:v>
      </x:c>
      <x:c r="J463" s="16" t="d">
        <x:v>2026-09-30T00:00:00.000Z</x:v>
      </x:c>
      <x:c r="K463" s="15" t="str">
        <x:v>Checking account</x:v>
      </x:c>
      <x:c r="L463" s="15" t="str">
        <x:v>Transaction was not authorized</x:v>
      </x:c>
      <x:c r="M463" s="15" t="str">
        <x:f>_xlfn.XLOOKUP(C463,'Lookups'!$A$7:$A$8,'Lookups'!$B$7:$B$8,"Unmapped",0)</x:f>
        <x:v>Deposit operations</x:v>
      </x:c>
      <x:c r="N463" s="14" t="n">
        <x:f>DATE(YEAR(B463),MONTH(B463),1)</x:f>
        <x:v>46266</x:v>
      </x:c>
    </x:row>
    <x:row r="464" ht="55" customHeight="1">
      <x:c r="A464" s="13" t="str">
        <x:v>28708095</x:v>
      </x:c>
      <x:c r="B464" s="14" t="d">
        <x:v>2026-09-30T00:00:00.000Z</x:v>
      </x:c>
      <x:c r="C464" s="15" t="str">
        <x:v>Checking or savings account</x:v>
      </x:c>
      <x:c r="D464" s="15" t="str">
        <x:v>Opening an account</x:v>
      </x:c>
      <x:c r="E464" s="15" t="str">
        <x:v>Chime Financial Inc</x:v>
      </x:c>
      <x:c r="F464" s="15" t="str">
        <x:v>CA</x:v>
      </x:c>
      <x:c r="G464" s="15" t="str">
        <x:v>Yes</x:v>
      </x:c>
      <x:c r="H464" s="15" t="str">
        <x:v>Closed with explanation</x:v>
      </x:c>
      <x:c r="I464" s="15" t="str">
        <x:v>Web</x:v>
      </x:c>
      <x:c r="J464" s="16" t="d">
        <x:v>2026-09-30T00:00:00.000Z</x:v>
      </x:c>
      <x:c r="K464" s="15" t="str">
        <x:v>Checking account</x:v>
      </x:c>
      <x:c r="L464" s="15" t="str">
        <x:v>Account opened without my consent or knowledge</x:v>
      </x:c>
      <x:c r="M464" s="15" t="str">
        <x:f>_xlfn.XLOOKUP(C464,'Lookups'!$A$7:$A$8,'Lookups'!$B$7:$B$8,"Unmapped",0)</x:f>
        <x:v>Deposit operations</x:v>
      </x:c>
      <x:c r="N464" s="14" t="n">
        <x:f>DATE(YEAR(B464),MONTH(B464),1)</x:f>
        <x:v>46266</x:v>
      </x:c>
    </x:row>
    <x:row r="465" ht="55" customHeight="1">
      <x:c r="A465" s="13" t="str">
        <x:v>28708611</x:v>
      </x:c>
      <x:c r="B465" s="14" t="d">
        <x:v>2026-09-30T00:00:00.000Z</x:v>
      </x:c>
      <x:c r="C465" s="15" t="str">
        <x:v>Credit card</x:v>
      </x:c>
      <x:c r="D465" s="15" t="str">
        <x:v>Other features, terms, or problems</x:v>
      </x:c>
      <x:c r="E465" s="15" t="str">
        <x:v>CITIBANK, N.A.</x:v>
      </x:c>
      <x:c r="F465" s="15" t="str">
        <x:v>CA</x:v>
      </x:c>
      <x:c r="G465" s="15" t="str">
        <x:v>Yes</x:v>
      </x:c>
      <x:c r="H465" s="15" t="str">
        <x:v>Closed with explanation</x:v>
      </x:c>
      <x:c r="I465" s="15" t="str">
        <x:v>Web</x:v>
      </x:c>
      <x:c r="J465" s="16" t="d">
        <x:v>2026-09-30T00:00:00.000Z</x:v>
      </x:c>
      <x:c r="K465" s="15" t="str">
        <x:v>General-purpose credit card or charge card</x:v>
      </x:c>
      <x:c r="L465" s="15" t="str">
        <x:v>Problem with rewards from credit card</x:v>
      </x:c>
      <x:c r="M465" s="15" t="str">
        <x:f>_xlfn.XLOOKUP(C465,'Lookups'!$A$7:$A$8,'Lookups'!$B$7:$B$8,"Unmapped",0)</x:f>
        <x:v>Card operations</x:v>
      </x:c>
      <x:c r="N465" s="14" t="n">
        <x:f>DATE(YEAR(B465),MONTH(B465),1)</x:f>
        <x:v>46266</x:v>
      </x:c>
    </x:row>
    <x:row r="466" ht="55" customHeight="1">
      <x:c r="A466" s="13" t="str">
        <x:v>28708660</x:v>
      </x:c>
      <x:c r="B466" s="14" t="d">
        <x:v>2026-09-30T00:00:00.000Z</x:v>
      </x:c>
      <x:c r="C466" s="15" t="str">
        <x:v>Credit card</x:v>
      </x:c>
      <x:c r="D466" s="15" t="str">
        <x:v>Other features, terms, or problems</x:v>
      </x:c>
      <x:c r="E466" s="15" t="str">
        <x:v>JPMORGAN CHASE &amp; CO.</x:v>
      </x:c>
      <x:c r="F466" s="15" t="str">
        <x:v>AZ</x:v>
      </x:c>
      <x:c r="G466" s="15" t="str">
        <x:v>Yes</x:v>
      </x:c>
      <x:c r="H466" s="15" t="str">
        <x:v>Closed with monetary relief</x:v>
      </x:c>
      <x:c r="I466" s="15" t="str">
        <x:v>Web</x:v>
      </x:c>
      <x:c r="J466" s="16" t="d">
        <x:v>2026-09-30T00:00:00.000Z</x:v>
      </x:c>
      <x:c r="K466" s="15" t="str">
        <x:v>General-purpose credit card or charge card</x:v>
      </x:c>
      <x:c r="L466" s="15" t="str">
        <x:v>Other problem</x:v>
      </x:c>
      <x:c r="M466" s="15" t="str">
        <x:f>_xlfn.XLOOKUP(C466,'Lookups'!$A$7:$A$8,'Lookups'!$B$7:$B$8,"Unmapped",0)</x:f>
        <x:v>Card operations</x:v>
      </x:c>
      <x:c r="N466" s="14" t="n">
        <x:f>DATE(YEAR(B466),MONTH(B466),1)</x:f>
        <x:v>46266</x:v>
      </x:c>
    </x:row>
    <x:row r="467" ht="55" customHeight="1">
      <x:c r="A467" s="13" t="str">
        <x:v>28708699</x:v>
      </x:c>
      <x:c r="B467" s="14" t="d">
        <x:v>2026-09-30T00:00:00.000Z</x:v>
      </x:c>
      <x:c r="C467" s="15" t="str">
        <x:v>Credit card</x:v>
      </x:c>
      <x:c r="D467" s="15" t="str">
        <x:v>Incorrect information on your report</x:v>
      </x:c>
      <x:c r="E467" s="15" t="str">
        <x:v>BANK OF AMERICA, NATIONAL ASSOCIATION</x:v>
      </x:c>
      <x:c r="F467" s="15" t="str">
        <x:v>CO</x:v>
      </x:c>
      <x:c r="G467" s="15" t="str">
        <x:v>Yes</x:v>
      </x:c>
      <x:c r="H467" s="15" t="str">
        <x:v>Closed with explanation</x:v>
      </x:c>
      <x:c r="I467" s="15" t="str">
        <x:v>Web</x:v>
      </x:c>
      <x:c r="J467" s="16" t="d">
        <x:v>2026-09-30T00:00:00.000Z</x:v>
      </x:c>
      <x:c r="K467" s="15" t="str">
        <x:v>General-purpose credit card or charge card</x:v>
      </x:c>
      <x:c r="L467" s="15" t="str">
        <x:v>Account status incorrect</x:v>
      </x:c>
      <x:c r="M467" s="15" t="str">
        <x:f>_xlfn.XLOOKUP(C467,'Lookups'!$A$7:$A$8,'Lookups'!$B$7:$B$8,"Unmapped",0)</x:f>
        <x:v>Card operations</x:v>
      </x:c>
      <x:c r="N467" s="14" t="n">
        <x:f>DATE(YEAR(B467),MONTH(B467),1)</x:f>
        <x:v>46266</x:v>
      </x:c>
    </x:row>
    <x:row r="468" ht="55" customHeight="1">
      <x:c r="A468" s="13" t="str">
        <x:v>28708704</x:v>
      </x:c>
      <x:c r="B468" s="14" t="d">
        <x:v>2026-09-30T00:00:00.000Z</x:v>
      </x:c>
      <x:c r="C468" s="15" t="str">
        <x:v>Checking or savings account</x:v>
      </x:c>
      <x:c r="D468" s="15" t="str">
        <x:v>Managing an account</x:v>
      </x:c>
      <x:c r="E468" s="15" t="str">
        <x:v>FinCo Services Inc DBA Current</x:v>
      </x:c>
      <x:c r="F468" s="15" t="str">
        <x:v>UT</x:v>
      </x:c>
      <x:c r="G468" s="15" t="str">
        <x:v>Yes</x:v>
      </x:c>
      <x:c r="H468" s="15" t="str">
        <x:v>In progress</x:v>
      </x:c>
      <x:c r="I468" s="15" t="str">
        <x:v>Web</x:v>
      </x:c>
      <x:c r="J468" s="16" t="d">
        <x:v>2026-09-30T00:00:00.000Z</x:v>
      </x:c>
      <x:c r="K468" s="15" t="str">
        <x:v>Checking account</x:v>
      </x:c>
      <x:c r="L468" s="15" t="str">
        <x:v>Deposits and withdrawals</x:v>
      </x:c>
      <x:c r="M468" s="15" t="str">
        <x:f>_xlfn.XLOOKUP(C468,'Lookups'!$A$7:$A$8,'Lookups'!$B$7:$B$8,"Unmapped",0)</x:f>
        <x:v>Deposit operations</x:v>
      </x:c>
      <x:c r="N468" s="14" t="n">
        <x:f>DATE(YEAR(B468),MONTH(B468),1)</x:f>
        <x:v>46266</x:v>
      </x:c>
    </x:row>
    <x:row r="469" ht="55" customHeight="1">
      <x:c r="A469" s="13" t="str">
        <x:v>28708721</x:v>
      </x:c>
      <x:c r="B469" s="14" t="d">
        <x:v>2026-09-30T00:00:00.000Z</x:v>
      </x:c>
      <x:c r="C469" s="15" t="str">
        <x:v>Credit card</x:v>
      </x:c>
      <x:c r="D469" s="15" t="str">
        <x:v>Getting a credit card</x:v>
      </x:c>
      <x:c r="E469" s="15" t="str">
        <x:v>Mercury Financial Intermediate LLC</x:v>
      </x:c>
      <x:c r="F469" s="15" t="str">
        <x:v>MI</x:v>
      </x:c>
      <x:c r="G469" s="15" t="str">
        <x:v>Yes</x:v>
      </x:c>
      <x:c r="H469" s="15" t="str">
        <x:v>In progress</x:v>
      </x:c>
      <x:c r="I469" s="15" t="str">
        <x:v>Web</x:v>
      </x:c>
      <x:c r="J469" s="16" t="d">
        <x:v>2026-09-30T00:00:00.000Z</x:v>
      </x:c>
      <x:c r="K469" s="15" t="str">
        <x:v>General-purpose credit card or charge card</x:v>
      </x:c>
      <x:c r="L469" s="15" t="str">
        <x:v>Problem getting a working replacement card</x:v>
      </x:c>
      <x:c r="M469" s="15" t="str">
        <x:f>_xlfn.XLOOKUP(C469,'Lookups'!$A$7:$A$8,'Lookups'!$B$7:$B$8,"Unmapped",0)</x:f>
        <x:v>Card operations</x:v>
      </x:c>
      <x:c r="N469" s="14" t="n">
        <x:f>DATE(YEAR(B469),MONTH(B469),1)</x:f>
        <x:v>46266</x:v>
      </x:c>
    </x:row>
    <x:row r="470" ht="55" customHeight="1">
      <x:c r="A470" s="13" t="str">
        <x:v>28708729</x:v>
      </x:c>
      <x:c r="B470" s="14" t="d">
        <x:v>2026-09-30T00:00:00.000Z</x:v>
      </x:c>
      <x:c r="C470" s="15" t="str">
        <x:v>Checking or savings account</x:v>
      </x:c>
      <x:c r="D470" s="15" t="str">
        <x:v>Managing an account</x:v>
      </x:c>
      <x:c r="E470" s="15" t="str">
        <x:v>FIFTH THIRD FINANCIAL CORPORATION</x:v>
      </x:c>
      <x:c r="F470" s="15" t="str">
        <x:v>NC</x:v>
      </x:c>
      <x:c r="G470" s="15" t="str">
        <x:v>Yes</x:v>
      </x:c>
      <x:c r="H470" s="15" t="str">
        <x:v>Closed with explanation</x:v>
      </x:c>
      <x:c r="I470" s="15" t="str">
        <x:v>Web</x:v>
      </x:c>
      <x:c r="J470" s="16" t="d">
        <x:v>2026-09-30T00:00:00.000Z</x:v>
      </x:c>
      <x:c r="K470" s="15" t="str">
        <x:v>Checking account</x:v>
      </x:c>
      <x:c r="L470" s="15" t="str">
        <x:v>Funds not handled or disbursed as instructed</x:v>
      </x:c>
      <x:c r="M470" s="15" t="str">
        <x:f>_xlfn.XLOOKUP(C470,'Lookups'!$A$7:$A$8,'Lookups'!$B$7:$B$8,"Unmapped",0)</x:f>
        <x:v>Deposit operations</x:v>
      </x:c>
      <x:c r="N470" s="14" t="n">
        <x:f>DATE(YEAR(B470),MONTH(B470),1)</x:f>
        <x:v>46266</x:v>
      </x:c>
    </x:row>
    <x:row r="471" ht="55" customHeight="1">
      <x:c r="A471" s="13" t="str">
        <x:v>28708733</x:v>
      </x:c>
      <x:c r="B471" s="14" t="d">
        <x:v>2026-09-30T00:00:00.000Z</x:v>
      </x:c>
      <x:c r="C471" s="15" t="str">
        <x:v>Checking or savings account</x:v>
      </x:c>
      <x:c r="D471" s="15" t="str">
        <x:v>Opening an account</x:v>
      </x:c>
      <x:c r="E471" s="15" t="str">
        <x:v>AMERICAN EXPRESS COMPANY</x:v>
      </x:c>
      <x:c r="F471" s="15" t="str">
        <x:v>FL</x:v>
      </x:c>
      <x:c r="G471" s="15" t="str">
        <x:v>Yes</x:v>
      </x:c>
      <x:c r="H471" s="15" t="str">
        <x:v>Closed with explanation</x:v>
      </x:c>
      <x:c r="I471" s="15" t="str">
        <x:v>Web</x:v>
      </x:c>
      <x:c r="J471" s="16" t="d">
        <x:v>2026-09-30T00:00:00.000Z</x:v>
      </x:c>
      <x:c r="K471" s="15" t="str">
        <x:v>Savings account</x:v>
      </x:c>
      <x:c r="L471" s="15" t="str">
        <x:v>Didn't receive terms that were advertised</x:v>
      </x:c>
      <x:c r="M471" s="15" t="str">
        <x:f>_xlfn.XLOOKUP(C471,'Lookups'!$A$7:$A$8,'Lookups'!$B$7:$B$8,"Unmapped",0)</x:f>
        <x:v>Deposit operations</x:v>
      </x:c>
      <x:c r="N471" s="14" t="n">
        <x:f>DATE(YEAR(B471),MONTH(B471),1)</x:f>
        <x:v>46266</x:v>
      </x:c>
    </x:row>
    <x:row r="472" ht="55" customHeight="1">
      <x:c r="A472" s="13" t="str">
        <x:v>28708735</x:v>
      </x:c>
      <x:c r="B472" s="14" t="d">
        <x:v>2026-09-30T00:00:00.000Z</x:v>
      </x:c>
      <x:c r="C472" s="15" t="str">
        <x:v>Credit card</x:v>
      </x:c>
      <x:c r="D472" s="15" t="str">
        <x:v>Getting a credit card</x:v>
      </x:c>
      <x:c r="E472" s="15" t="str">
        <x:v>Experian Information Solutions Inc.</x:v>
      </x:c>
      <x:c r="F472" s="15" t="str">
        <x:v>NC</x:v>
      </x:c>
      <x:c r="G472" s="15" t="str">
        <x:v>Yes</x:v>
      </x:c>
      <x:c r="H472" s="15" t="str">
        <x:v>In progress</x:v>
      </x:c>
      <x:c r="I472" s="15" t="str">
        <x:v>Web</x:v>
      </x:c>
      <x:c r="J472" s="16" t="d">
        <x:v>2026-09-30T00:00:00.000Z</x:v>
      </x:c>
      <x:c r="K472" s="15" t="str">
        <x:v>General-purpose credit card or charge card</x:v>
      </x:c>
      <x:c r="L472" s="15" t="str">
        <x:v>Card opened without my consent or knowledge</x:v>
      </x:c>
      <x:c r="M472" s="15" t="str">
        <x:f>_xlfn.XLOOKUP(C472,'Lookups'!$A$7:$A$8,'Lookups'!$B$7:$B$8,"Unmapped",0)</x:f>
        <x:v>Card operations</x:v>
      </x:c>
      <x:c r="N472" s="14" t="n">
        <x:f>DATE(YEAR(B472),MONTH(B472),1)</x:f>
        <x:v>46266</x:v>
      </x:c>
    </x:row>
    <x:row r="473" ht="55" customHeight="1">
      <x:c r="A473" s="13" t="str">
        <x:v>28708842</x:v>
      </x:c>
      <x:c r="B473" s="14" t="d">
        <x:v>2026-09-30T00:00:00.000Z</x:v>
      </x:c>
      <x:c r="C473" s="15" t="str">
        <x:v>Credit card</x:v>
      </x:c>
      <x:c r="D473" s="15" t="str">
        <x:v>Problem with a purchase shown on your statement</x:v>
      </x:c>
      <x:c r="E473" s="15" t="str">
        <x:v>SYNCHRONY FINANCIAL</x:v>
      </x:c>
      <x:c r="F473" s="15" t="str">
        <x:v>CA</x:v>
      </x:c>
      <x:c r="G473" s="15" t="str">
        <x:v>Yes</x:v>
      </x:c>
      <x:c r="H473" s="15" t="str">
        <x:v>In progress</x:v>
      </x:c>
      <x:c r="I473" s="15" t="str">
        <x:v>Web</x:v>
      </x:c>
      <x:c r="J473" s="16" t="d">
        <x:v>2026-09-30T00:00:00.000Z</x:v>
      </x:c>
      <x:c r="K473" s="15" t="str">
        <x:v>Store credit card</x:v>
      </x:c>
      <x:c r="L473" s="15" t="str">
        <x:v>Credit card company isn't resolving a dispute about a purchase on your statement</x:v>
      </x:c>
      <x:c r="M473" s="15" t="str">
        <x:f>_xlfn.XLOOKUP(C473,'Lookups'!$A$7:$A$8,'Lookups'!$B$7:$B$8,"Unmapped",0)</x:f>
        <x:v>Card operations</x:v>
      </x:c>
      <x:c r="N473" s="14" t="n">
        <x:f>DATE(YEAR(B473),MONTH(B473),1)</x:f>
        <x:v>46266</x:v>
      </x:c>
    </x:row>
    <x:row r="474" ht="55" customHeight="1">
      <x:c r="A474" s="13" t="str">
        <x:v>28708869</x:v>
      </x:c>
      <x:c r="B474" s="14" t="d">
        <x:v>2026-09-30T00:00:00.000Z</x:v>
      </x:c>
      <x:c r="C474" s="15" t="str">
        <x:v>Credit card</x:v>
      </x:c>
      <x:c r="D474" s="15" t="str">
        <x:v>Problem with a purchase shown on your statement</x:v>
      </x:c>
      <x:c r="E474" s="15" t="str">
        <x:v>Incomm Holdings Inc.</x:v>
      </x:c>
      <x:c r="F474" s="15" t="str">
        <x:v>NJ</x:v>
      </x:c>
      <x:c r="G474" s="15" t="str">
        <x:v>Yes</x:v>
      </x:c>
      <x:c r="H474" s="15" t="str">
        <x:v>Closed with explanation</x:v>
      </x:c>
      <x:c r="I474" s="15" t="str">
        <x:v>Web</x:v>
      </x:c>
      <x:c r="J474" s="16" t="d">
        <x:v>2026-09-30T00:00:00.000Z</x:v>
      </x:c>
      <x:c r="K474" s="15" t="str">
        <x:v>General-purpose credit card or charge card</x:v>
      </x:c>
      <x:c r="L474" s="15" t="str">
        <x:v>Credit card company isn't resolving a dispute about a purchase on your statement</x:v>
      </x:c>
      <x:c r="M474" s="15" t="str">
        <x:f>_xlfn.XLOOKUP(C474,'Lookups'!$A$7:$A$8,'Lookups'!$B$7:$B$8,"Unmapped",0)</x:f>
        <x:v>Card operations</x:v>
      </x:c>
      <x:c r="N474" s="14" t="n">
        <x:f>DATE(YEAR(B474),MONTH(B474),1)</x:f>
        <x:v>46266</x:v>
      </x:c>
    </x:row>
    <x:row r="475" ht="55" customHeight="1">
      <x:c r="A475" s="13" t="str">
        <x:v>28708909</x:v>
      </x:c>
      <x:c r="B475" s="14" t="d">
        <x:v>2026-09-30T00:00:00.000Z</x:v>
      </x:c>
      <x:c r="C475" s="15" t="str">
        <x:v>Checking or savings account</x:v>
      </x:c>
      <x:c r="D475" s="15" t="str">
        <x:v>Opening an account</x:v>
      </x:c>
      <x:c r="E475" s="15" t="str">
        <x:v>TRUIST FINANCIAL CORPORATION</x:v>
      </x:c>
      <x:c r="F475" s="15" t="str">
        <x:v>MD</x:v>
      </x:c>
      <x:c r="G475" s="15" t="str">
        <x:v>Yes</x:v>
      </x:c>
      <x:c r="H475" s="15" t="str">
        <x:v>Closed with non-monetary relief</x:v>
      </x:c>
      <x:c r="I475" s="15" t="str">
        <x:v>Web</x:v>
      </x:c>
      <x:c r="J475" s="16" t="d">
        <x:v>2026-09-30T00:00:00.000Z</x:v>
      </x:c>
      <x:c r="K475" s="15" t="str">
        <x:v>Checking account</x:v>
      </x:c>
      <x:c r="L475" s="15" t="str">
        <x:v>Unable to open an account</x:v>
      </x:c>
      <x:c r="M475" s="15" t="str">
        <x:f>_xlfn.XLOOKUP(C475,'Lookups'!$A$7:$A$8,'Lookups'!$B$7:$B$8,"Unmapped",0)</x:f>
        <x:v>Deposit operations</x:v>
      </x:c>
      <x:c r="N475" s="14" t="n">
        <x:f>DATE(YEAR(B475),MONTH(B475),1)</x:f>
        <x:v>46266</x:v>
      </x:c>
    </x:row>
    <x:row r="476" ht="55" customHeight="1">
      <x:c r="A476" s="13" t="str">
        <x:v>28709008</x:v>
      </x:c>
      <x:c r="B476" s="14" t="d">
        <x:v>2026-09-30T00:00:00.000Z</x:v>
      </x:c>
      <x:c r="C476" s="15" t="str">
        <x:v>Checking or savings account</x:v>
      </x:c>
      <x:c r="D476" s="15" t="str">
        <x:v>Problem with a lender or other company charging your account</x:v>
      </x:c>
      <x:c r="E476" s="15" t="str">
        <x:v>BANK OF AMERICA, NATIONAL ASSOCIATION</x:v>
      </x:c>
      <x:c r="F476" s="15" t="str">
        <x:v>IL</x:v>
      </x:c>
      <x:c r="G476" s="15" t="str">
        <x:v>Yes</x:v>
      </x:c>
      <x:c r="H476" s="15" t="str">
        <x:v>In progress</x:v>
      </x:c>
      <x:c r="I476" s="15" t="str">
        <x:v>Web</x:v>
      </x:c>
      <x:c r="J476" s="16" t="d">
        <x:v>2026-09-30T00:00:00.000Z</x:v>
      </x:c>
      <x:c r="K476" s="15" t="str">
        <x:v>Checking account</x:v>
      </x:c>
      <x:c r="L476" s="15" t="str">
        <x:v>Transaction was not authorized</x:v>
      </x:c>
      <x:c r="M476" s="15" t="str">
        <x:f>_xlfn.XLOOKUP(C476,'Lookups'!$A$7:$A$8,'Lookups'!$B$7:$B$8,"Unmapped",0)</x:f>
        <x:v>Deposit operations</x:v>
      </x:c>
      <x:c r="N476" s="14" t="n">
        <x:f>DATE(YEAR(B476),MONTH(B476),1)</x:f>
        <x:v>46266</x:v>
      </x:c>
    </x:row>
    <x:row r="477" ht="55" customHeight="1">
      <x:c r="A477" s="13" t="str">
        <x:v>28709048</x:v>
      </x:c>
      <x:c r="B477" s="14" t="d">
        <x:v>2026-09-30T00:00:00.000Z</x:v>
      </x:c>
      <x:c r="C477" s="15" t="str">
        <x:v>Credit card</x:v>
      </x:c>
      <x:c r="D477" s="15" t="str">
        <x:v>Advertising and marketing, including promotional offers</x:v>
      </x:c>
      <x:c r="E477" s="15" t="str">
        <x:v>TD BANK US HOLDING COMPANY</x:v>
      </x:c>
      <x:c r="F477" s="15" t="str">
        <x:v>FL</x:v>
      </x:c>
      <x:c r="G477" s="15" t="str">
        <x:v>Yes</x:v>
      </x:c>
      <x:c r="H477" s="15" t="str">
        <x:v>Closed with explanation</x:v>
      </x:c>
      <x:c r="I477" s="15" t="str">
        <x:v>Web</x:v>
      </x:c>
      <x:c r="J477" s="16" t="d">
        <x:v>2026-09-30T00:00:00.000Z</x:v>
      </x:c>
      <x:c r="K477" s="15" t="str">
        <x:v>General-purpose credit card or charge card</x:v>
      </x:c>
      <x:c r="L477" s="15" t="str">
        <x:v>Confusing or misleading advertising about the credit card</x:v>
      </x:c>
      <x:c r="M477" s="15" t="str">
        <x:f>_xlfn.XLOOKUP(C477,'Lookups'!$A$7:$A$8,'Lookups'!$B$7:$B$8,"Unmapped",0)</x:f>
        <x:v>Card operations</x:v>
      </x:c>
      <x:c r="N477" s="14" t="n">
        <x:f>DATE(YEAR(B477),MONTH(B477),1)</x:f>
        <x:v>46266</x:v>
      </x:c>
    </x:row>
    <x:row r="478" ht="55" customHeight="1">
      <x:c r="A478" s="13" t="str">
        <x:v>28709240</x:v>
      </x:c>
      <x:c r="B478" s="14" t="d">
        <x:v>2026-09-30T00:00:00.000Z</x:v>
      </x:c>
      <x:c r="C478" s="15" t="str">
        <x:v>Checking or savings account</x:v>
      </x:c>
      <x:c r="D478" s="15" t="str">
        <x:v>Managing an account</x:v>
      </x:c>
      <x:c r="E478" s="15" t="str">
        <x:v>MORGAN STANLEY &amp; CO. LLC</x:v>
      </x:c>
      <x:c r="F478" s="15" t="str">
        <x:v>CO</x:v>
      </x:c>
      <x:c r="G478" s="15" t="str">
        <x:v>Yes</x:v>
      </x:c>
      <x:c r="H478" s="15" t="str">
        <x:v>Closed with explanation</x:v>
      </x:c>
      <x:c r="I478" s="15" t="str">
        <x:v>Referral</x:v>
      </x:c>
      <x:c r="J478" s="16" t="d">
        <x:v>2026-09-30T00:00:00.000Z</x:v>
      </x:c>
      <x:c r="K478" s="15" t="str">
        <x:v>Savings account</x:v>
      </x:c>
      <x:c r="L478" s="15" t="str">
        <x:v>Banking errors</x:v>
      </x:c>
      <x:c r="M478" s="15" t="str">
        <x:f>_xlfn.XLOOKUP(C478,'Lookups'!$A$7:$A$8,'Lookups'!$B$7:$B$8,"Unmapped",0)</x:f>
        <x:v>Deposit operations</x:v>
      </x:c>
      <x:c r="N478" s="14" t="n">
        <x:f>DATE(YEAR(B478),MONTH(B478),1)</x:f>
        <x:v>46266</x:v>
      </x:c>
    </x:row>
    <x:row r="479" ht="55" customHeight="1">
      <x:c r="A479" s="13" t="str">
        <x:v>28709255</x:v>
      </x:c>
      <x:c r="B479" s="14" t="d">
        <x:v>2026-09-30T00:00:00.000Z</x:v>
      </x:c>
      <x:c r="C479" s="15" t="str">
        <x:v>Checking or savings account</x:v>
      </x:c>
      <x:c r="D479" s="15" t="str">
        <x:v>Managing an account</x:v>
      </x:c>
      <x:c r="E479" s="15" t="str">
        <x:v>Paypal Holdings, Inc</x:v>
      </x:c>
      <x:c r="F479" s="15" t="str">
        <x:v>NC</x:v>
      </x:c>
      <x:c r="G479" s="15" t="str">
        <x:v>Yes</x:v>
      </x:c>
      <x:c r="H479" s="15" t="str">
        <x:v>Closed with explanation</x:v>
      </x:c>
      <x:c r="I479" s="15" t="str">
        <x:v>Web</x:v>
      </x:c>
      <x:c r="J479" s="16" t="d">
        <x:v>2026-09-30T00:00:00.000Z</x:v>
      </x:c>
      <x:c r="K479" s="15" t="str">
        <x:v>Checking account</x:v>
      </x:c>
      <x:c r="L479" s="15" t="str">
        <x:v>Deposits and withdrawals</x:v>
      </x:c>
      <x:c r="M479" s="15" t="str">
        <x:f>_xlfn.XLOOKUP(C479,'Lookups'!$A$7:$A$8,'Lookups'!$B$7:$B$8,"Unmapped",0)</x:f>
        <x:v>Deposit operations</x:v>
      </x:c>
      <x:c r="N479" s="14" t="n">
        <x:f>DATE(YEAR(B479),MONTH(B479),1)</x:f>
        <x:v>46266</x:v>
      </x:c>
    </x:row>
    <x:row r="480" ht="55" customHeight="1">
      <x:c r="A480" s="13" t="str">
        <x:v>28709303</x:v>
      </x:c>
      <x:c r="B480" s="14" t="d">
        <x:v>2026-09-30T00:00:00.000Z</x:v>
      </x:c>
      <x:c r="C480" s="15" t="str">
        <x:v>Credit card</x:v>
      </x:c>
      <x:c r="D480" s="15" t="str">
        <x:v>Problem with a purchase shown on your statement</x:v>
      </x:c>
      <x:c r="E480" s="15" t="str">
        <x:v>FinCo Services Inc DBA Current</x:v>
      </x:c>
      <x:c r="F480" s="15" t="str">
        <x:v>IN</x:v>
      </x:c>
      <x:c r="G480" s="15" t="str">
        <x:v>Yes</x:v>
      </x:c>
      <x:c r="H480" s="15" t="str">
        <x:v>In progress</x:v>
      </x:c>
      <x:c r="I480" s="15" t="str">
        <x:v>Web</x:v>
      </x:c>
      <x:c r="J480" s="16" t="d">
        <x:v>2026-09-30T00:00:00.000Z</x:v>
      </x:c>
      <x:c r="K480" s="15" t="str">
        <x:v>General-purpose credit card or charge card</x:v>
      </x:c>
      <x:c r="L480" s="15" t="str">
        <x:v>Credit card company isn't resolving a dispute about a purchase on your statement</x:v>
      </x:c>
      <x:c r="M480" s="15" t="str">
        <x:f>_xlfn.XLOOKUP(C480,'Lookups'!$A$7:$A$8,'Lookups'!$B$7:$B$8,"Unmapped",0)</x:f>
        <x:v>Card operations</x:v>
      </x:c>
      <x:c r="N480" s="14" t="n">
        <x:f>DATE(YEAR(B480),MONTH(B480),1)</x:f>
        <x:v>46266</x:v>
      </x:c>
    </x:row>
    <x:row r="481" ht="55" customHeight="1">
      <x:c r="A481" s="13" t="str">
        <x:v>28709319</x:v>
      </x:c>
      <x:c r="B481" s="14" t="d">
        <x:v>2026-09-30T00:00:00.000Z</x:v>
      </x:c>
      <x:c r="C481" s="15" t="str">
        <x:v>Credit card</x:v>
      </x:c>
      <x:c r="D481" s="15" t="str">
        <x:v>Getting a credit card</x:v>
      </x:c>
      <x:c r="E481" s="15" t="str">
        <x:v>WELLS FARGO &amp; COMPANY</x:v>
      </x:c>
      <x:c r="F481" s="15" t="str">
        <x:v>NY</x:v>
      </x:c>
      <x:c r="G481" s="15" t="str">
        <x:v>Yes</x:v>
      </x:c>
      <x:c r="H481" s="15" t="str">
        <x:v>In progress</x:v>
      </x:c>
      <x:c r="I481" s="15" t="str">
        <x:v>Web</x:v>
      </x:c>
      <x:c r="J481" s="16" t="d">
        <x:v>2026-09-30T00:00:00.000Z</x:v>
      </x:c>
      <x:c r="K481" s="15" t="str">
        <x:v>General-purpose credit card or charge card</x:v>
      </x:c>
      <x:c r="L481" s="15" t="str">
        <x:v>Delay in processing application</x:v>
      </x:c>
      <x:c r="M481" s="15" t="str">
        <x:f>_xlfn.XLOOKUP(C481,'Lookups'!$A$7:$A$8,'Lookups'!$B$7:$B$8,"Unmapped",0)</x:f>
        <x:v>Card operations</x:v>
      </x:c>
      <x:c r="N481" s="14" t="n">
        <x:f>DATE(YEAR(B481),MONTH(B481),1)</x:f>
        <x:v>46266</x:v>
      </x:c>
    </x:row>
    <x:row r="482" ht="55" customHeight="1">
      <x:c r="A482" s="13" t="str">
        <x:v>28709385</x:v>
      </x:c>
      <x:c r="B482" s="14" t="d">
        <x:v>2026-09-30T00:00:00.000Z</x:v>
      </x:c>
      <x:c r="C482" s="15" t="str">
        <x:v>Credit card</x:v>
      </x:c>
      <x:c r="D482" s="15" t="str">
        <x:v>Problem with a purchase shown on your statement</x:v>
      </x:c>
      <x:c r="E482" s="15" t="str">
        <x:v>GOLDMAN SACHS BANK USA</x:v>
      </x:c>
      <x:c r="F482" s="15" t="str">
        <x:v>FL</x:v>
      </x:c>
      <x:c r="G482" s="15" t="str">
        <x:v>Yes</x:v>
      </x:c>
      <x:c r="H482" s="15" t="str">
        <x:v>Closed with monetary relief</x:v>
      </x:c>
      <x:c r="I482" s="15" t="str">
        <x:v>Web</x:v>
      </x:c>
      <x:c r="J482" s="16" t="d">
        <x:v>2026-09-30T00:00:00.000Z</x:v>
      </x:c>
      <x:c r="K482" s="15" t="str">
        <x:v>General-purpose credit card or charge card</x:v>
      </x:c>
      <x:c r="L482" s="15" t="str">
        <x:v>Credit card company isn't resolving a dispute about a purchase on your statement</x:v>
      </x:c>
      <x:c r="M482" s="15" t="str">
        <x:f>_xlfn.XLOOKUP(C482,'Lookups'!$A$7:$A$8,'Lookups'!$B$7:$B$8,"Unmapped",0)</x:f>
        <x:v>Card operations</x:v>
      </x:c>
      <x:c r="N482" s="14" t="n">
        <x:f>DATE(YEAR(B482),MONTH(B482),1)</x:f>
        <x:v>46266</x:v>
      </x:c>
    </x:row>
    <x:row r="483" ht="55" customHeight="1">
      <x:c r="A483" s="13" t="str">
        <x:v>28709394</x:v>
      </x:c>
      <x:c r="B483" s="14" t="d">
        <x:v>2026-09-30T00:00:00.000Z</x:v>
      </x:c>
      <x:c r="C483" s="15" t="str">
        <x:v>Checking or savings account</x:v>
      </x:c>
      <x:c r="D483" s="15" t="str">
        <x:v>Managing an account</x:v>
      </x:c>
      <x:c r="E483" s="15" t="str">
        <x:v>Chime Financial Inc</x:v>
      </x:c>
      <x:c r="F483" s="15" t="str">
        <x:v>GA</x:v>
      </x:c>
      <x:c r="G483" s="15" t="str">
        <x:v>Yes</x:v>
      </x:c>
      <x:c r="H483" s="15" t="str">
        <x:v>In progress</x:v>
      </x:c>
      <x:c r="I483" s="15" t="str">
        <x:v>Web</x:v>
      </x:c>
      <x:c r="J483" s="16" t="d">
        <x:v>2026-09-30T00:00:00.000Z</x:v>
      </x:c>
      <x:c r="K483" s="15" t="str">
        <x:v>Checking account</x:v>
      </x:c>
      <x:c r="L483" s="15" t="str">
        <x:v>Problem using a debit or ATM card</x:v>
      </x:c>
      <x:c r="M483" s="15" t="str">
        <x:f>_xlfn.XLOOKUP(C483,'Lookups'!$A$7:$A$8,'Lookups'!$B$7:$B$8,"Unmapped",0)</x:f>
        <x:v>Deposit operations</x:v>
      </x:c>
      <x:c r="N483" s="14" t="n">
        <x:f>DATE(YEAR(B483),MONTH(B483),1)</x:f>
        <x:v>46266</x:v>
      </x:c>
    </x:row>
    <x:row r="484" ht="55" customHeight="1">
      <x:c r="A484" s="13" t="str">
        <x:v>28709496</x:v>
      </x:c>
      <x:c r="B484" s="14" t="d">
        <x:v>2026-09-30T00:00:00.000Z</x:v>
      </x:c>
      <x:c r="C484" s="15" t="str">
        <x:v>Credit card</x:v>
      </x:c>
      <x:c r="D484" s="15" t="str">
        <x:v>Advertising and marketing, including promotional offers</x:v>
      </x:c>
      <x:c r="E484" s="15" t="str">
        <x:v>SYNCHRONY FINANCIAL</x:v>
      </x:c>
      <x:c r="F484" s="15" t="str">
        <x:v>IL</x:v>
      </x:c>
      <x:c r="G484" s="15" t="str">
        <x:v>Yes</x:v>
      </x:c>
      <x:c r="H484" s="15" t="str">
        <x:v>In progress</x:v>
      </x:c>
      <x:c r="I484" s="15" t="str">
        <x:v>Web</x:v>
      </x:c>
      <x:c r="J484" s="16" t="d">
        <x:v>2026-09-30T00:00:00.000Z</x:v>
      </x:c>
      <x:c r="K484" s="15" t="str">
        <x:v>Store credit card</x:v>
      </x:c>
      <x:c r="L484" s="15" t="str">
        <x:v>Didn't receive advertised or promotional terms</x:v>
      </x:c>
      <x:c r="M484" s="15" t="str">
        <x:f>_xlfn.XLOOKUP(C484,'Lookups'!$A$7:$A$8,'Lookups'!$B$7:$B$8,"Unmapped",0)</x:f>
        <x:v>Card operations</x:v>
      </x:c>
      <x:c r="N484" s="14" t="n">
        <x:f>DATE(YEAR(B484),MONTH(B484),1)</x:f>
        <x:v>46266</x:v>
      </x:c>
    </x:row>
    <x:row r="485" ht="55" customHeight="1">
      <x:c r="A485" s="13" t="str">
        <x:v>28709533</x:v>
      </x:c>
      <x:c r="B485" s="14" t="d">
        <x:v>2026-09-30T00:00:00.000Z</x:v>
      </x:c>
      <x:c r="C485" s="15" t="str">
        <x:v>Checking or savings account</x:v>
      </x:c>
      <x:c r="D485" s="15" t="str">
        <x:v>Managing an account</x:v>
      </x:c>
      <x:c r="E485" s="15" t="str">
        <x:v>Chime Financial Inc</x:v>
      </x:c>
      <x:c r="F485" s="15" t="str">
        <x:v>GA</x:v>
      </x:c>
      <x:c r="G485" s="15" t="str">
        <x:v>Yes</x:v>
      </x:c>
      <x:c r="H485" s="15" t="str">
        <x:v>In progress</x:v>
      </x:c>
      <x:c r="I485" s="15" t="str">
        <x:v>Web</x:v>
      </x:c>
      <x:c r="J485" s="16" t="d">
        <x:v>2026-09-30T00:00:00.000Z</x:v>
      </x:c>
      <x:c r="K485" s="15" t="str">
        <x:v>Checking account</x:v>
      </x:c>
      <x:c r="L485" s="15" t="str">
        <x:v>Problem using a debit or ATM card</x:v>
      </x:c>
      <x:c r="M485" s="15" t="str">
        <x:f>_xlfn.XLOOKUP(C485,'Lookups'!$A$7:$A$8,'Lookups'!$B$7:$B$8,"Unmapped",0)</x:f>
        <x:v>Deposit operations</x:v>
      </x:c>
      <x:c r="N485" s="14" t="n">
        <x:f>DATE(YEAR(B485),MONTH(B485),1)</x:f>
        <x:v>46266</x:v>
      </x:c>
    </x:row>
    <x:row r="486" ht="55" customHeight="1">
      <x:c r="A486" s="13" t="str">
        <x:v>28709539</x:v>
      </x:c>
      <x:c r="B486" s="14" t="d">
        <x:v>2026-09-30T00:00:00.000Z</x:v>
      </x:c>
      <x:c r="C486" s="15" t="str">
        <x:v>Credit card</x:v>
      </x:c>
      <x:c r="D486" s="15" t="str">
        <x:v>Problem with a company's investigation into an existing problem</x:v>
      </x:c>
      <x:c r="E486" s="15" t="str">
        <x:v>BANK OF AMERICA, NATIONAL ASSOCIATION</x:v>
      </x:c>
      <x:c r="F486" s="15" t="str">
        <x:v>CA</x:v>
      </x:c>
      <x:c r="G486" s="15" t="str">
        <x:v>Yes</x:v>
      </x:c>
      <x:c r="H486" s="15" t="str">
        <x:v>In progress</x:v>
      </x:c>
      <x:c r="I486" s="15" t="str">
        <x:v>Web</x:v>
      </x:c>
      <x:c r="J486" s="16" t="d">
        <x:v>2026-09-30T00:00:00.000Z</x:v>
      </x:c>
      <x:c r="K486" s="15" t="str">
        <x:v>General-purpose credit card or charge card</x:v>
      </x:c>
      <x:c r="L486" s="15" t="str">
        <x:v>Their investigation did not fix an error on your report</x:v>
      </x:c>
      <x:c r="M486" s="15" t="str">
        <x:f>_xlfn.XLOOKUP(C486,'Lookups'!$A$7:$A$8,'Lookups'!$B$7:$B$8,"Unmapped",0)</x:f>
        <x:v>Card operations</x:v>
      </x:c>
      <x:c r="N486" s="14" t="n">
        <x:f>DATE(YEAR(B486),MONTH(B486),1)</x:f>
        <x:v>46266</x:v>
      </x:c>
    </x:row>
    <x:row r="487" ht="55" customHeight="1">
      <x:c r="A487" s="13" t="str">
        <x:v>28709605</x:v>
      </x:c>
      <x:c r="B487" s="14" t="d">
        <x:v>2026-09-30T00:00:00.000Z</x:v>
      </x:c>
      <x:c r="C487" s="15" t="str">
        <x:v>Checking or savings account</x:v>
      </x:c>
      <x:c r="D487" s="15" t="str">
        <x:v>Closing an account</x:v>
      </x:c>
      <x:c r="E487" s="15" t="str">
        <x:v>CITIZENS FINANCIAL GROUP, INC.</x:v>
      </x:c>
      <x:c r="F487" s="15" t="str">
        <x:v>NJ</x:v>
      </x:c>
      <x:c r="G487" s="15" t="str">
        <x:v>Yes</x:v>
      </x:c>
      <x:c r="H487" s="15" t="str">
        <x:v>In progress</x:v>
      </x:c>
      <x:c r="I487" s="15" t="str">
        <x:v>Web</x:v>
      </x:c>
      <x:c r="J487" s="16" t="d">
        <x:v>2026-09-30T00:00:00.000Z</x:v>
      </x:c>
      <x:c r="K487" s="15" t="str">
        <x:v>Savings account</x:v>
      </x:c>
      <x:c r="L487" s="15" t="str">
        <x:v>Funds not received from closed account</x:v>
      </x:c>
      <x:c r="M487" s="15" t="str">
        <x:f>_xlfn.XLOOKUP(C487,'Lookups'!$A$7:$A$8,'Lookups'!$B$7:$B$8,"Unmapped",0)</x:f>
        <x:v>Deposit operations</x:v>
      </x:c>
      <x:c r="N487" s="14" t="n">
        <x:f>DATE(YEAR(B487),MONTH(B487),1)</x:f>
        <x:v>46266</x:v>
      </x:c>
    </x:row>
    <x:row r="488" ht="55" customHeight="1">
      <x:c r="A488" s="13" t="str">
        <x:v>28709646</x:v>
      </x:c>
      <x:c r="B488" s="14" t="d">
        <x:v>2026-09-30T00:00:00.000Z</x:v>
      </x:c>
      <x:c r="C488" s="15" t="str">
        <x:v>Credit card</x:v>
      </x:c>
      <x:c r="D488" s="15" t="str">
        <x:v>Other features, terms, or problems</x:v>
      </x:c>
      <x:c r="E488" s="15" t="str">
        <x:v>CITIBANK, N.A.</x:v>
      </x:c>
      <x:c r="F488" s="15" t="str">
        <x:v>CA</x:v>
      </x:c>
      <x:c r="G488" s="15" t="str">
        <x:v>Yes</x:v>
      </x:c>
      <x:c r="H488" s="15" t="str">
        <x:v>Closed with monetary relief</x:v>
      </x:c>
      <x:c r="I488" s="15" t="str">
        <x:v>Web</x:v>
      </x:c>
      <x:c r="J488" s="16" t="d">
        <x:v>2026-09-30T00:00:00.000Z</x:v>
      </x:c>
      <x:c r="K488" s="15" t="str">
        <x:v>General-purpose credit card or charge card</x:v>
      </x:c>
      <x:c r="L488" s="15" t="str">
        <x:v>Other problem</x:v>
      </x:c>
      <x:c r="M488" s="15" t="str">
        <x:f>_xlfn.XLOOKUP(C488,'Lookups'!$A$7:$A$8,'Lookups'!$B$7:$B$8,"Unmapped",0)</x:f>
        <x:v>Card operations</x:v>
      </x:c>
      <x:c r="N488" s="14" t="n">
        <x:f>DATE(YEAR(B488),MONTH(B488),1)</x:f>
        <x:v>46266</x:v>
      </x:c>
    </x:row>
    <x:row r="489" ht="55" customHeight="1">
      <x:c r="A489" s="13" t="str">
        <x:v>28709845</x:v>
      </x:c>
      <x:c r="B489" s="14" t="d">
        <x:v>2026-09-30T00:00:00.000Z</x:v>
      </x:c>
      <x:c r="C489" s="15" t="str">
        <x:v>Credit card</x:v>
      </x:c>
      <x:c r="D489" s="15" t="str">
        <x:v>Fees or interest</x:v>
      </x:c>
      <x:c r="E489" s="15" t="str">
        <x:v>SYNCHRONY FINANCIAL</x:v>
      </x:c>
      <x:c r="F489" s="15" t="str">
        <x:v>CA</x:v>
      </x:c>
      <x:c r="G489" s="15" t="str">
        <x:v>Yes</x:v>
      </x:c>
      <x:c r="H489" s="15" t="str">
        <x:v>In progress</x:v>
      </x:c>
      <x:c r="I489" s="15" t="str">
        <x:v>Web</x:v>
      </x:c>
      <x:c r="J489" s="16" t="d">
        <x:v>2026-09-30T00:00:00.000Z</x:v>
      </x:c>
      <x:c r="K489" s="15" t="str">
        <x:v>Store credit card</x:v>
      </x:c>
      <x:c r="L489" s="15" t="str">
        <x:v>Charged too much interest</x:v>
      </x:c>
      <x:c r="M489" s="15" t="str">
        <x:f>_xlfn.XLOOKUP(C489,'Lookups'!$A$7:$A$8,'Lookups'!$B$7:$B$8,"Unmapped",0)</x:f>
        <x:v>Card operations</x:v>
      </x:c>
      <x:c r="N489" s="14" t="n">
        <x:f>DATE(YEAR(B489),MONTH(B489),1)</x:f>
        <x:v>46266</x:v>
      </x:c>
    </x:row>
    <x:row r="490" ht="55" customHeight="1">
      <x:c r="A490" s="13" t="str">
        <x:v>28709889</x:v>
      </x:c>
      <x:c r="B490" s="14" t="d">
        <x:v>2026-09-30T00:00:00.000Z</x:v>
      </x:c>
      <x:c r="C490" s="15" t="str">
        <x:v>Checking or savings account</x:v>
      </x:c>
      <x:c r="D490" s="15" t="str">
        <x:v>Problem caused by your funds being low</x:v>
      </x:c>
      <x:c r="E490" s="15" t="str">
        <x:v>JPMORGAN CHASE &amp; CO.</x:v>
      </x:c>
      <x:c r="F490" s="15" t="str">
        <x:v>NC</x:v>
      </x:c>
      <x:c r="G490" s="15" t="str">
        <x:v>Yes</x:v>
      </x:c>
      <x:c r="H490" s="15" t="str">
        <x:v>Closed with monetary relief</x:v>
      </x:c>
      <x:c r="I490" s="15" t="str">
        <x:v>Web</x:v>
      </x:c>
      <x:c r="J490" s="16" t="d">
        <x:v>2026-09-30T00:00:00.000Z</x:v>
      </x:c>
      <x:c r="K490" s="15" t="str">
        <x:v>Checking account</x:v>
      </x:c>
      <x:c r="L490" s="15" t="str">
        <x:v>Non-sufficient funds and associated fees</x:v>
      </x:c>
      <x:c r="M490" s="15" t="str">
        <x:f>_xlfn.XLOOKUP(C490,'Lookups'!$A$7:$A$8,'Lookups'!$B$7:$B$8,"Unmapped",0)</x:f>
        <x:v>Deposit operations</x:v>
      </x:c>
      <x:c r="N490" s="14" t="n">
        <x:f>DATE(YEAR(B490),MONTH(B490),1)</x:f>
        <x:v>46266</x:v>
      </x:c>
    </x:row>
    <x:row r="491" ht="55" customHeight="1">
      <x:c r="A491" s="13" t="str">
        <x:v>28709930</x:v>
      </x:c>
      <x:c r="B491" s="14" t="d">
        <x:v>2026-09-30T00:00:00.000Z</x:v>
      </x:c>
      <x:c r="C491" s="15" t="str">
        <x:v>Checking or savings account</x:v>
      </x:c>
      <x:c r="D491" s="15" t="str">
        <x:v>Managing an account</x:v>
      </x:c>
      <x:c r="E491" s="15" t="str">
        <x:v>BANK OF AMERICA, NATIONAL ASSOCIATION</x:v>
      </x:c>
      <x:c r="F491" s="15" t="str">
        <x:v>GA</x:v>
      </x:c>
      <x:c r="G491" s="15" t="str">
        <x:v>Yes</x:v>
      </x:c>
      <x:c r="H491" s="15" t="str">
        <x:v>In progress</x:v>
      </x:c>
      <x:c r="I491" s="15" t="str">
        <x:v>Web</x:v>
      </x:c>
      <x:c r="J491" s="16" t="d">
        <x:v>2026-09-30T00:00:00.000Z</x:v>
      </x:c>
      <x:c r="K491" s="15" t="str">
        <x:v>Savings account</x:v>
      </x:c>
      <x:c r="L491" s="15" t="str">
        <x:v>Banking errors</x:v>
      </x:c>
      <x:c r="M491" s="15" t="str">
        <x:f>_xlfn.XLOOKUP(C491,'Lookups'!$A$7:$A$8,'Lookups'!$B$7:$B$8,"Unmapped",0)</x:f>
        <x:v>Deposit operations</x:v>
      </x:c>
      <x:c r="N491" s="14" t="n">
        <x:f>DATE(YEAR(B491),MONTH(B491),1)</x:f>
        <x:v>46266</x:v>
      </x:c>
    </x:row>
    <x:row r="492" ht="55" customHeight="1">
      <x:c r="A492" s="13" t="str">
        <x:v>28710234</x:v>
      </x:c>
      <x:c r="B492" s="14" t="d">
        <x:v>2026-09-30T00:00:00.000Z</x:v>
      </x:c>
      <x:c r="C492" s="15" t="str">
        <x:v>Credit card</x:v>
      </x:c>
      <x:c r="D492" s="15" t="str">
        <x:v>Other features, terms, or problems</x:v>
      </x:c>
      <x:c r="E492" s="15" t="str">
        <x:v>JPMORGAN CHASE &amp; CO.</x:v>
      </x:c>
      <x:c r="F492" s="15" t="str">
        <x:v>WA</x:v>
      </x:c>
      <x:c r="G492" s="15" t="str">
        <x:v>Yes</x:v>
      </x:c>
      <x:c r="H492" s="15" t="str">
        <x:v>In progress</x:v>
      </x:c>
      <x:c r="I492" s="15" t="str">
        <x:v>Web</x:v>
      </x:c>
      <x:c r="J492" s="16" t="d">
        <x:v>2026-09-30T00:00:00.000Z</x:v>
      </x:c>
      <x:c r="K492" s="15" t="str">
        <x:v>General-purpose credit card or charge card</x:v>
      </x:c>
      <x:c r="L492" s="15" t="str">
        <x:v>Problem with rewards from credit card</x:v>
      </x:c>
      <x:c r="M492" s="15" t="str">
        <x:f>_xlfn.XLOOKUP(C492,'Lookups'!$A$7:$A$8,'Lookups'!$B$7:$B$8,"Unmapped",0)</x:f>
        <x:v>Card operations</x:v>
      </x:c>
      <x:c r="N492" s="14" t="n">
        <x:f>DATE(YEAR(B492),MONTH(B492),1)</x:f>
        <x:v>46266</x:v>
      </x:c>
    </x:row>
    <x:row r="493" ht="55" customHeight="1">
      <x:c r="A493" s="13" t="str">
        <x:v>28710439</x:v>
      </x:c>
      <x:c r="B493" s="14" t="d">
        <x:v>2026-09-30T00:00:00.000Z</x:v>
      </x:c>
      <x:c r="C493" s="15" t="str">
        <x:v>Credit card</x:v>
      </x:c>
      <x:c r="D493" s="15" t="str">
        <x:v>Problem with a purchase shown on your statement</x:v>
      </x:c>
      <x:c r="E493" s="15" t="str">
        <x:v>CITIBANK, N.A.</x:v>
      </x:c>
      <x:c r="F493" s="15" t="str">
        <x:v>TX</x:v>
      </x:c>
      <x:c r="G493" s="15" t="str">
        <x:v>Yes</x:v>
      </x:c>
      <x:c r="H493" s="15" t="str">
        <x:v>Closed with explanation</x:v>
      </x:c>
      <x:c r="I493" s="15" t="str">
        <x:v>Web</x:v>
      </x:c>
      <x:c r="J493" s="16" t="d">
        <x:v>2026-09-30T00:00:00.000Z</x:v>
      </x:c>
      <x:c r="K493" s="15" t="str">
        <x:v>General-purpose credit card or charge card</x:v>
      </x:c>
      <x:c r="L493" s="15" t="str">
        <x:v>Credit card company isn't resolving a dispute about a purchase on your statement</x:v>
      </x:c>
      <x:c r="M493" s="15" t="str">
        <x:f>_xlfn.XLOOKUP(C493,'Lookups'!$A$7:$A$8,'Lookups'!$B$7:$B$8,"Unmapped",0)</x:f>
        <x:v>Card operations</x:v>
      </x:c>
      <x:c r="N493" s="14" t="n">
        <x:f>DATE(YEAR(B493),MONTH(B493),1)</x:f>
        <x:v>46266</x:v>
      </x:c>
    </x:row>
    <x:row r="494" ht="55" customHeight="1">
      <x:c r="A494" s="13" t="str">
        <x:v>28711179</x:v>
      </x:c>
      <x:c r="B494" s="14" t="d">
        <x:v>2026-09-30T00:00:00.000Z</x:v>
      </x:c>
      <x:c r="C494" s="15" t="str">
        <x:v>Credit card</x:v>
      </x:c>
      <x:c r="D494" s="15" t="str">
        <x:v>Fees or interest</x:v>
      </x:c>
      <x:c r="E494" s="15" t="str">
        <x:v>CITIBANK, N.A.</x:v>
      </x:c>
      <x:c r="F494" s="15" t="str">
        <x:v>SC</x:v>
      </x:c>
      <x:c r="G494" s="15" t="str">
        <x:v>Yes</x:v>
      </x:c>
      <x:c r="H494" s="15" t="str">
        <x:v>Closed with monetary relief</x:v>
      </x:c>
      <x:c r="I494" s="15" t="str">
        <x:v>Web</x:v>
      </x:c>
      <x:c r="J494" s="16" t="d">
        <x:v>2026-09-30T00:00:00.000Z</x:v>
      </x:c>
      <x:c r="K494" s="15" t="str">
        <x:v>General-purpose credit card or charge card</x:v>
      </x:c>
      <x:c r="L494" s="15" t="str">
        <x:v>Problem with fees</x:v>
      </x:c>
      <x:c r="M494" s="15" t="str">
        <x:f>_xlfn.XLOOKUP(C494,'Lookups'!$A$7:$A$8,'Lookups'!$B$7:$B$8,"Unmapped",0)</x:f>
        <x:v>Card operations</x:v>
      </x:c>
      <x:c r="N494" s="14" t="n">
        <x:f>DATE(YEAR(B494),MONTH(B494),1)</x:f>
        <x:v>46266</x:v>
      </x:c>
    </x:row>
    <x:row r="495" ht="55" customHeight="1">
      <x:c r="A495" s="13" t="str">
        <x:v>28711183</x:v>
      </x:c>
      <x:c r="B495" s="14" t="d">
        <x:v>2026-09-30T00:00:00.000Z</x:v>
      </x:c>
      <x:c r="C495" s="15" t="str">
        <x:v>Credit card</x:v>
      </x:c>
      <x:c r="D495" s="15" t="str">
        <x:v>Problem with a purchase shown on your statement</x:v>
      </x:c>
      <x:c r="E495" s="15" t="str">
        <x:v>CAPITAL ONE FINANCIAL CORPORATION</x:v>
      </x:c>
      <x:c r="F495" s="15" t="str">
        <x:v>CA</x:v>
      </x:c>
      <x:c r="G495" s="15" t="str">
        <x:v>Yes</x:v>
      </x:c>
      <x:c r="H495" s="15" t="str">
        <x:v>Closed with monetary relief</x:v>
      </x:c>
      <x:c r="I495" s="15" t="str">
        <x:v>Web</x:v>
      </x:c>
      <x:c r="J495" s="16" t="d">
        <x:v>2026-09-30T00:00:00.000Z</x:v>
      </x:c>
      <x:c r="K495" s="15" t="str">
        <x:v>General-purpose credit card or charge card</x:v>
      </x:c>
      <x:c r="L495" s="15" t="str">
        <x:v>Card was charged for something you did not purchase with the card</x:v>
      </x:c>
      <x:c r="M495" s="15" t="str">
        <x:f>_xlfn.XLOOKUP(C495,'Lookups'!$A$7:$A$8,'Lookups'!$B$7:$B$8,"Unmapped",0)</x:f>
        <x:v>Card operations</x:v>
      </x:c>
      <x:c r="N495" s="14" t="n">
        <x:f>DATE(YEAR(B495),MONTH(B495),1)</x:f>
        <x:v>46266</x:v>
      </x:c>
    </x:row>
    <x:row r="496" ht="55" customHeight="1">
      <x:c r="A496" s="13" t="str">
        <x:v>28711187</x:v>
      </x:c>
      <x:c r="B496" s="14" t="d">
        <x:v>2026-09-30T00:00:00.000Z</x:v>
      </x:c>
      <x:c r="C496" s="15" t="str">
        <x:v>Checking or savings account</x:v>
      </x:c>
      <x:c r="D496" s="15" t="str">
        <x:v>Opening an account</x:v>
      </x:c>
      <x:c r="E496" s="15" t="str">
        <x:v>UNITED SERVICES AUTOMOBILE ASSOCIATION</x:v>
      </x:c>
      <x:c r="F496" s="15" t="str">
        <x:v>CA</x:v>
      </x:c>
      <x:c r="G496" s="15" t="str">
        <x:v>Yes</x:v>
      </x:c>
      <x:c r="H496" s="15" t="str">
        <x:v>Closed with explanation</x:v>
      </x:c>
      <x:c r="I496" s="15" t="str">
        <x:v>Referral</x:v>
      </x:c>
      <x:c r="J496" s="16" t="d">
        <x:v>2026-09-30T00:00:00.000Z</x:v>
      </x:c>
      <x:c r="K496" s="15" t="str">
        <x:v>Savings account</x:v>
      </x:c>
      <x:c r="L496" s="15" t="str">
        <x:v>Account opened without my consent or knowledge</x:v>
      </x:c>
      <x:c r="M496" s="15" t="str">
        <x:f>_xlfn.XLOOKUP(C496,'Lookups'!$A$7:$A$8,'Lookups'!$B$7:$B$8,"Unmapped",0)</x:f>
        <x:v>Deposit operations</x:v>
      </x:c>
      <x:c r="N496" s="14" t="n">
        <x:f>DATE(YEAR(B496),MONTH(B496),1)</x:f>
        <x:v>46266</x:v>
      </x:c>
    </x:row>
    <x:row r="497" ht="55" customHeight="1">
      <x:c r="A497" s="13" t="str">
        <x:v>28711302</x:v>
      </x:c>
      <x:c r="B497" s="14" t="d">
        <x:v>2026-09-30T00:00:00.000Z</x:v>
      </x:c>
      <x:c r="C497" s="15" t="str">
        <x:v>Credit card</x:v>
      </x:c>
      <x:c r="D497" s="15" t="str">
        <x:v>Problem with a purchase shown on your statement</x:v>
      </x:c>
      <x:c r="E497" s="15" t="str">
        <x:v>BANK OF AMERICA, NATIONAL ASSOCIATION</x:v>
      </x:c>
      <x:c r="F497" s="15" t="str">
        <x:v>CA</x:v>
      </x:c>
      <x:c r="G497" s="15" t="str">
        <x:v>Yes</x:v>
      </x:c>
      <x:c r="H497" s="15" t="str">
        <x:v>In progress</x:v>
      </x:c>
      <x:c r="I497" s="15" t="str">
        <x:v>Web</x:v>
      </x:c>
      <x:c r="J497" s="16" t="d">
        <x:v>2026-09-30T00:00:00.000Z</x:v>
      </x:c>
      <x:c r="K497" s="15" t="str">
        <x:v>General-purpose credit card or charge card</x:v>
      </x:c>
      <x:c r="L497" s="15" t="str">
        <x:v>Card was charged for something you did not purchase with the card</x:v>
      </x:c>
      <x:c r="M497" s="15" t="str">
        <x:f>_xlfn.XLOOKUP(C497,'Lookups'!$A$7:$A$8,'Lookups'!$B$7:$B$8,"Unmapped",0)</x:f>
        <x:v>Card operations</x:v>
      </x:c>
      <x:c r="N497" s="14" t="n">
        <x:f>DATE(YEAR(B497),MONTH(B497),1)</x:f>
        <x:v>46266</x:v>
      </x:c>
    </x:row>
    <x:row r="498" ht="55" customHeight="1">
      <x:c r="A498" s="13" t="str">
        <x:v>28711319</x:v>
      </x:c>
      <x:c r="B498" s="14" t="d">
        <x:v>2026-09-30T00:00:00.000Z</x:v>
      </x:c>
      <x:c r="C498" s="15" t="str">
        <x:v>Checking or savings account</x:v>
      </x:c>
      <x:c r="D498" s="15" t="str">
        <x:v>Managing an account</x:v>
      </x:c>
      <x:c r="E498" s="15" t="str">
        <x:v>Block, Inc.</x:v>
      </x:c>
      <x:c r="F498" s="15" t="str">
        <x:v>AZ</x:v>
      </x:c>
      <x:c r="G498" s="15" t="str">
        <x:v>Yes</x:v>
      </x:c>
      <x:c r="H498" s="15" t="str">
        <x:v>Closed with explanation</x:v>
      </x:c>
      <x:c r="I498" s="15" t="str">
        <x:v>Web</x:v>
      </x:c>
      <x:c r="J498" s="16" t="d">
        <x:v>2026-09-30T00:00:00.000Z</x:v>
      </x:c>
      <x:c r="K498" s="15" t="str">
        <x:v>Checking account</x:v>
      </x:c>
      <x:c r="L498" s="15" t="str">
        <x:v>Problem accessing account</x:v>
      </x:c>
      <x:c r="M498" s="15" t="str">
        <x:f>_xlfn.XLOOKUP(C498,'Lookups'!$A$7:$A$8,'Lookups'!$B$7:$B$8,"Unmapped",0)</x:f>
        <x:v>Deposit operations</x:v>
      </x:c>
      <x:c r="N498" s="14" t="n">
        <x:f>DATE(YEAR(B498),MONTH(B498),1)</x:f>
        <x:v>46266</x:v>
      </x:c>
    </x:row>
    <x:row r="499" ht="55" customHeight="1">
      <x:c r="A499" s="13" t="str">
        <x:v>28711752</x:v>
      </x:c>
      <x:c r="B499" s="14" t="d">
        <x:v>2026-09-30T00:00:00.000Z</x:v>
      </x:c>
      <x:c r="C499" s="15" t="str">
        <x:v>Checking or savings account</x:v>
      </x:c>
      <x:c r="D499" s="15" t="str">
        <x:v>Managing an account</x:v>
      </x:c>
      <x:c r="E499" s="15" t="str">
        <x:v>TRUIST FINANCIAL CORPORATION</x:v>
      </x:c>
      <x:c r="F499" s="15" t="str">
        <x:v>NC</x:v>
      </x:c>
      <x:c r="G499" s="15" t="str">
        <x:v>Yes</x:v>
      </x:c>
      <x:c r="H499" s="15" t="str">
        <x:v>Closed with explanation</x:v>
      </x:c>
      <x:c r="I499" s="15" t="str">
        <x:v>Referral</x:v>
      </x:c>
      <x:c r="J499" s="16" t="d">
        <x:v>2026-09-30T00:00:00.000Z</x:v>
      </x:c>
      <x:c r="K499" s="15" t="str">
        <x:v>Checking account</x:v>
      </x:c>
      <x:c r="L499" s="15" t="str">
        <x:v>Problem using a debit or ATM card</x:v>
      </x:c>
      <x:c r="M499" s="15" t="str">
        <x:f>_xlfn.XLOOKUP(C499,'Lookups'!$A$7:$A$8,'Lookups'!$B$7:$B$8,"Unmapped",0)</x:f>
        <x:v>Deposit operations</x:v>
      </x:c>
      <x:c r="N499" s="14" t="n">
        <x:f>DATE(YEAR(B499),MONTH(B499),1)</x:f>
        <x:v>46266</x:v>
      </x:c>
    </x:row>
    <x:row r="500" ht="55" customHeight="1">
      <x:c r="A500" s="13" t="str">
        <x:v>28712045</x:v>
      </x:c>
      <x:c r="B500" s="14" t="d">
        <x:v>2026-09-30T00:00:00.000Z</x:v>
      </x:c>
      <x:c r="C500" s="15" t="str">
        <x:v>Credit card</x:v>
      </x:c>
      <x:c r="D500" s="15" t="str">
        <x:v>Other features, terms, or problems</x:v>
      </x:c>
      <x:c r="E500" s="15" t="str">
        <x:v>TD BANK US HOLDING COMPANY</x:v>
      </x:c>
      <x:c r="F500" s="15" t="str">
        <x:v>NY</x:v>
      </x:c>
      <x:c r="G500" s="15" t="str">
        <x:v>Yes</x:v>
      </x:c>
      <x:c r="H500" s="15" t="str">
        <x:v>In progress</x:v>
      </x:c>
      <x:c r="I500" s="15" t="str">
        <x:v>Web</x:v>
      </x:c>
      <x:c r="J500" s="16" t="d">
        <x:v>2026-09-30T00:00:00.000Z</x:v>
      </x:c>
      <x:c r="K500" s="15" t="str">
        <x:v>Store credit card</x:v>
      </x:c>
      <x:c r="L500" s="15" t="str">
        <x:v>Other problem</x:v>
      </x:c>
      <x:c r="M500" s="15" t="str">
        <x:f>_xlfn.XLOOKUP(C500,'Lookups'!$A$7:$A$8,'Lookups'!$B$7:$B$8,"Unmapped",0)</x:f>
        <x:v>Card operations</x:v>
      </x:c>
      <x:c r="N500" s="14" t="n">
        <x:f>DATE(YEAR(B500),MONTH(B500),1)</x:f>
        <x:v>46266</x:v>
      </x:c>
    </x:row>
    <x:row r="501" ht="55" customHeight="1">
      <x:c r="A501" s="13" t="str">
        <x:v>28713031</x:v>
      </x:c>
      <x:c r="B501" s="14" t="d">
        <x:v>2026-09-30T00:00:00.000Z</x:v>
      </x:c>
      <x:c r="C501" s="15" t="str">
        <x:v>Credit card</x:v>
      </x:c>
      <x:c r="D501" s="15" t="str">
        <x:v>Trouble using your card</x:v>
      </x:c>
      <x:c r="E501" s="15" t="str">
        <x:v>TD BANK US HOLDING COMPANY</x:v>
      </x:c>
      <x:c r="F501" s="15" t="str">
        <x:v>CA</x:v>
      </x:c>
      <x:c r="G501" s="15" t="str">
        <x:v>Yes</x:v>
      </x:c>
      <x:c r="H501" s="15" t="str">
        <x:v>Closed with explanation</x:v>
      </x:c>
      <x:c r="I501" s="15" t="str">
        <x:v>Web</x:v>
      </x:c>
      <x:c r="J501" s="16" t="d">
        <x:v>2026-09-30T00:00:00.000Z</x:v>
      </x:c>
      <x:c r="K501" s="15" t="str">
        <x:v>General-purpose credit card or charge card</x:v>
      </x:c>
      <x:c r="L501" s="15" t="str">
        <x:v>Can't use card to make purchases</x:v>
      </x:c>
      <x:c r="M501" s="15" t="str">
        <x:f>_xlfn.XLOOKUP(C501,'Lookups'!$A$7:$A$8,'Lookups'!$B$7:$B$8,"Unmapped",0)</x:f>
        <x:v>Card operations</x:v>
      </x:c>
      <x:c r="N501" s="14" t="n">
        <x:f>DATE(YEAR(B501),MONTH(B501),1)</x:f>
        <x:v>46266</x:v>
      </x:c>
    </x:row>
    <x:row r="502" ht="55" customHeight="1">
      <x:c r="A502" s="13" t="str">
        <x:v>28713304</x:v>
      </x:c>
      <x:c r="B502" s="14" t="d">
        <x:v>2026-09-30T00:00:00.000Z</x:v>
      </x:c>
      <x:c r="C502" s="15" t="str">
        <x:v>Credit card</x:v>
      </x:c>
      <x:c r="D502" s="15" t="str">
        <x:v>Problem with a purchase shown on your statement</x:v>
      </x:c>
      <x:c r="E502" s="15" t="str">
        <x:v>SYNCHRONY FINANCIAL</x:v>
      </x:c>
      <x:c r="F502" s="15" t="str">
        <x:v>PA</x:v>
      </x:c>
      <x:c r="G502" s="15" t="str">
        <x:v>Yes</x:v>
      </x:c>
      <x:c r="H502" s="15" t="str">
        <x:v>Closed with explanation</x:v>
      </x:c>
      <x:c r="I502" s="15" t="str">
        <x:v>Web</x:v>
      </x:c>
      <x:c r="J502" s="16" t="d">
        <x:v>2026-09-30T00:00:00.000Z</x:v>
      </x:c>
      <x:c r="K502" s="15" t="str">
        <x:v>General-purpose credit card or charge card</x:v>
      </x:c>
      <x:c r="L502" s="15" t="str">
        <x:v>Credit card company isn't resolving a dispute about a purchase on your statement</x:v>
      </x:c>
      <x:c r="M502" s="15" t="str">
        <x:f>_xlfn.XLOOKUP(C502,'Lookups'!$A$7:$A$8,'Lookups'!$B$7:$B$8,"Unmapped",0)</x:f>
        <x:v>Card operations</x:v>
      </x:c>
      <x:c r="N502" s="14" t="n">
        <x:f>DATE(YEAR(B502),MONTH(B502),1)</x:f>
        <x:v>46266</x:v>
      </x:c>
    </x:row>
    <x:row r="503" ht="55" customHeight="1">
      <x:c r="A503" s="13" t="str">
        <x:v>28713428</x:v>
      </x:c>
      <x:c r="B503" s="14" t="d">
        <x:v>2026-09-30T00:00:00.000Z</x:v>
      </x:c>
      <x:c r="C503" s="15" t="str">
        <x:v>Credit card</x:v>
      </x:c>
      <x:c r="D503" s="15" t="str">
        <x:v>Problem with a purchase shown on your statement</x:v>
      </x:c>
      <x:c r="E503" s="15" t="str">
        <x:v>GOLDMAN SACHS BANK USA</x:v>
      </x:c>
      <x:c r="F503" s="15" t="str">
        <x:v>OR</x:v>
      </x:c>
      <x:c r="G503" s="15" t="str">
        <x:v>Yes</x:v>
      </x:c>
      <x:c r="H503" s="15" t="str">
        <x:v>Closed with explanation</x:v>
      </x:c>
      <x:c r="I503" s="15" t="str">
        <x:v>Web</x:v>
      </x:c>
      <x:c r="J503" s="16" t="d">
        <x:v>2026-09-30T00:00:00.000Z</x:v>
      </x:c>
      <x:c r="K503" s="15" t="str">
        <x:v>General-purpose credit card or charge card</x:v>
      </x:c>
      <x:c r="L503" s="15" t="str">
        <x:v>Credit card company isn't resolving a dispute about a purchase on your statement</x:v>
      </x:c>
      <x:c r="M503" s="15" t="str">
        <x:f>_xlfn.XLOOKUP(C503,'Lookups'!$A$7:$A$8,'Lookups'!$B$7:$B$8,"Unmapped",0)</x:f>
        <x:v>Card operations</x:v>
      </x:c>
      <x:c r="N503" s="14" t="n">
        <x:f>DATE(YEAR(B503),MONTH(B503),1)</x:f>
        <x:v>46266</x:v>
      </x:c>
    </x:row>
    <x:row r="504" ht="55" customHeight="1">
      <x:c r="A504" s="13" t="str">
        <x:v>28713551</x:v>
      </x:c>
      <x:c r="B504" s="14" t="d">
        <x:v>2026-09-30T00:00:00.000Z</x:v>
      </x:c>
      <x:c r="C504" s="15" t="str">
        <x:v>Credit card</x:v>
      </x:c>
      <x:c r="D504" s="15" t="str">
        <x:v>Getting a credit card</x:v>
      </x:c>
      <x:c r="E504" s="15" t="str">
        <x:v>Bread Financial Holdings, Inc.</x:v>
      </x:c>
      <x:c r="F504" s="15" t="str">
        <x:v>PA</x:v>
      </x:c>
      <x:c r="G504" s="15" t="str">
        <x:v>Yes</x:v>
      </x:c>
      <x:c r="H504" s="15" t="str">
        <x:v>Closed with explanation</x:v>
      </x:c>
      <x:c r="I504" s="15" t="str">
        <x:v>Phone</x:v>
      </x:c>
      <x:c r="J504" s="16" t="d">
        <x:v>2026-09-30T00:00:00.000Z</x:v>
      </x:c>
      <x:c r="K504" s="15" t="str">
        <x:v>Store credit card</x:v>
      </x:c>
      <x:c r="L504" s="15" t="str">
        <x:v>Application denied</x:v>
      </x:c>
      <x:c r="M504" s="15" t="str">
        <x:f>_xlfn.XLOOKUP(C504,'Lookups'!$A$7:$A$8,'Lookups'!$B$7:$B$8,"Unmapped",0)</x:f>
        <x:v>Card operations</x:v>
      </x:c>
      <x:c r="N504" s="14" t="n">
        <x:f>DATE(YEAR(B504),MONTH(B504),1)</x:f>
        <x:v>46266</x:v>
      </x:c>
    </x:row>
    <x:row r="505" ht="55" customHeight="1">
      <x:c r="A505" s="13" t="str">
        <x:v>28713616</x:v>
      </x:c>
      <x:c r="B505" s="14" t="d">
        <x:v>2026-09-30T00:00:00.000Z</x:v>
      </x:c>
      <x:c r="C505" s="15" t="str">
        <x:v>Checking or savings account</x:v>
      </x:c>
      <x:c r="D505" s="15" t="str">
        <x:v>Problem with a lender or other company charging your account</x:v>
      </x:c>
      <x:c r="E505" s="15" t="str">
        <x:v>AMERICAN EXPRESS COMPANY</x:v>
      </x:c>
      <x:c r="F505" s="15" t="str">
        <x:v>FL</x:v>
      </x:c>
      <x:c r="G505" s="15" t="str">
        <x:v>Yes</x:v>
      </x:c>
      <x:c r="H505" s="15" t="str">
        <x:v>Closed with explanation</x:v>
      </x:c>
      <x:c r="I505" s="15" t="str">
        <x:v>Referral</x:v>
      </x:c>
      <x:c r="J505" s="16" t="d">
        <x:v>2026-09-30T00:00:00.000Z</x:v>
      </x:c>
      <x:c r="K505" s="15" t="str">
        <x:v>Checking account</x:v>
      </x:c>
      <x:c r="L505" s="15" t="str">
        <x:v>Transaction was not authorized</x:v>
      </x:c>
      <x:c r="M505" s="15" t="str">
        <x:f>_xlfn.XLOOKUP(C505,'Lookups'!$A$7:$A$8,'Lookups'!$B$7:$B$8,"Unmapped",0)</x:f>
        <x:v>Deposit operations</x:v>
      </x:c>
      <x:c r="N505" s="14" t="n">
        <x:f>DATE(YEAR(B505),MONTH(B505),1)</x:f>
        <x:v>46266</x:v>
      </x:c>
    </x:row>
    <x:row r="506" ht="55" customHeight="1">
      <x:c r="A506" s="13" t="str">
        <x:v>28713647</x:v>
      </x:c>
      <x:c r="B506" s="14" t="d">
        <x:v>2026-09-30T00:00:00.000Z</x:v>
      </x:c>
      <x:c r="C506" s="15" t="str">
        <x:v>Credit card</x:v>
      </x:c>
      <x:c r="D506" s="15" t="str">
        <x:v>Problem with a purchase shown on your statement</x:v>
      </x:c>
      <x:c r="E506" s="15" t="str">
        <x:v>Experian Information Solutions Inc.</x:v>
      </x:c>
      <x:c r="F506" s="15" t="str">
        <x:v>FL</x:v>
      </x:c>
      <x:c r="G506" s="15" t="str">
        <x:v>Yes</x:v>
      </x:c>
      <x:c r="H506" s="15" t="str">
        <x:v>In progress</x:v>
      </x:c>
      <x:c r="I506" s="15" t="str">
        <x:v>Web</x:v>
      </x:c>
      <x:c r="J506" s="16" t="d">
        <x:v>2026-09-30T00:00:00.000Z</x:v>
      </x:c>
      <x:c r="K506" s="15" t="str">
        <x:v>General-purpose credit card or charge card</x:v>
      </x:c>
      <x:c r="L506" s="15" t="str">
        <x:v>Credit card company isn't resolving a dispute about a purchase on your statement</x:v>
      </x:c>
      <x:c r="M506" s="15" t="str">
        <x:f>_xlfn.XLOOKUP(C506,'Lookups'!$A$7:$A$8,'Lookups'!$B$7:$B$8,"Unmapped",0)</x:f>
        <x:v>Card operations</x:v>
      </x:c>
      <x:c r="N506" s="14" t="n">
        <x:f>DATE(YEAR(B506),MONTH(B506),1)</x:f>
        <x:v>46266</x:v>
      </x:c>
    </x:row>
    <x:row r="507" ht="55" customHeight="1">
      <x:c r="A507" s="13" t="str">
        <x:v>28713666</x:v>
      </x:c>
      <x:c r="B507" s="14" t="d">
        <x:v>2026-09-30T00:00:00.000Z</x:v>
      </x:c>
      <x:c r="C507" s="15" t="str">
        <x:v>Credit card</x:v>
      </x:c>
      <x:c r="D507" s="15" t="str">
        <x:v>Incorrect information on your report</x:v>
      </x:c>
      <x:c r="E507" s="15" t="str">
        <x:v>BANK OF AMERICA, NATIONAL ASSOCIATION</x:v>
      </x:c>
      <x:c r="F507" s="15" t="str">
        <x:v>VA</x:v>
      </x:c>
      <x:c r="G507" s="15" t="str">
        <x:v>Yes</x:v>
      </x:c>
      <x:c r="H507" s="15" t="str">
        <x:v>In progress</x:v>
      </x:c>
      <x:c r="I507" s="15" t="str">
        <x:v>Web</x:v>
      </x:c>
      <x:c r="J507" s="16" t="d">
        <x:v>2026-09-30T00:00:00.000Z</x:v>
      </x:c>
      <x:c r="K507" s="15" t="str">
        <x:v>General-purpose credit card or charge card</x:v>
      </x:c>
      <x:c r="L507" s="15" t="str">
        <x:v>Account status incorrect</x:v>
      </x:c>
      <x:c r="M507" s="15" t="str">
        <x:f>_xlfn.XLOOKUP(C507,'Lookups'!$A$7:$A$8,'Lookups'!$B$7:$B$8,"Unmapped",0)</x:f>
        <x:v>Card operations</x:v>
      </x:c>
      <x:c r="N507" s="14" t="n">
        <x:f>DATE(YEAR(B507),MONTH(B507),1)</x:f>
        <x:v>46266</x:v>
      </x:c>
    </x:row>
  </x:sheetData>
  <x:conditionalFormatting sqref="G8:G507">
    <x:cfRule type="containsText" dxfId="0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c9a1862f6cbf451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Monthly source · complete population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5"/>
      <x:c r="J3" s="5"/>
      <x:c r="K3" s="5"/>
      <x:c r="L3" s="5"/>
    </x:row>
    <x:row r="4" ht="23" customHeight="1">
      <x:c r="A4" s="2" t="str">
        <x:v>Source: CFPB Consumer Complaint Database; retrieved 2026-10-19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https://www.consumerfinance.gov/data-research/consumer-complaints/</x:v>
      </x:c>
      <x:c r="B5" s="2"/>
      <x:c r="C5" s="2"/>
      <x:c r="D5" s="2"/>
      <x:c r="E5" s="2"/>
      <x:c r="F5" s="2"/>
      <x:c r="G5" s="2"/>
      <x:c r="H5" s="2"/>
    </x:row>
    <x:row r="6" ht="23" customHeight="1">
      <x:c r="A6" s="2"/>
      <x:c r="B6" s="2"/>
      <x:c r="C6" s="2"/>
      <x:c r="D6" s="2"/>
      <x:c r="E6" s="2"/>
      <x:c r="F6" s="2"/>
      <x:c r="G6" s="2"/>
      <x:c r="H6" s="2"/>
    </x:row>
    <x:row r="7" ht="34" customHeight="1">
      <x:c r="A7" s="11" t="str">
        <x:v>Month</x:v>
      </x:c>
      <x:c r="B7" s="11" t="str">
        <x:v>Product</x:v>
      </x:c>
      <x:c r="C7" s="11" t="str">
        <x:v>Complaints</x:v>
      </x:c>
      <x:c r="D7" s="11" t="str">
        <x:v>Timely Yes</x:v>
      </x:c>
      <x:c r="E7" s="11" t="str">
        <x:v>Known status</x:v>
      </x:c>
      <x:c r="F7" s="11" t="str">
        <x:v>Not timely</x:v>
      </x:c>
      <x:c r="G7" s="11" t="str">
        <x:v>Unknown</x:v>
      </x:c>
      <x:c r="H7" s="11" t="str">
        <x:v>Month label</x:v>
      </x:c>
    </x:row>
    <x:row r="8" ht="23" customHeight="1">
      <x:c r="A8" s="6" t="d">
        <x:v>2024-10-01T00:00:00.000Z</x:v>
      </x:c>
      <x:c r="B8" s="2" t="str">
        <x:v>Checking or savings account</x:v>
      </x:c>
      <x:c r="C8" s="7" t="n">
        <x:v>4692</x:v>
      </x:c>
      <x:c r="D8" s="7" t="n">
        <x:v>4668</x:v>
      </x:c>
      <x:c r="E8" s="7" t="n">
        <x:v>4692</x:v>
      </x:c>
      <x:c r="F8" s="7" t="n">
        <x:v>24</x:v>
      </x:c>
      <x:c r="G8" s="7" t="n">
        <x:v>0</x:v>
      </x:c>
      <x:c r="H8" s="2" t="str">
        <x:v>Oct 2024</x:v>
      </x:c>
    </x:row>
    <x:row r="9" ht="23" customHeight="1">
      <x:c r="A9" s="6" t="d">
        <x:v>2024-10-01T00:00:00.000Z</x:v>
      </x:c>
      <x:c r="B9" s="2" t="str">
        <x:v>Credit card</x:v>
      </x:c>
      <x:c r="C9" s="7" t="n">
        <x:v>7176</x:v>
      </x:c>
      <x:c r="D9" s="7" t="n">
        <x:v>7165</x:v>
      </x:c>
      <x:c r="E9" s="7" t="n">
        <x:v>7176</x:v>
      </x:c>
      <x:c r="F9" s="7" t="n">
        <x:v>11</x:v>
      </x:c>
      <x:c r="G9" s="7" t="n">
        <x:v>0</x:v>
      </x:c>
      <x:c r="H9" s="2" t="str">
        <x:v>Oct 2024</x:v>
      </x:c>
    </x:row>
    <x:row r="10" ht="23" customHeight="1">
      <x:c r="A10" s="6" t="d">
        <x:v>2024-11-01T00:00:00.000Z</x:v>
      </x:c>
      <x:c r="B10" s="2" t="str">
        <x:v>Checking or savings account</x:v>
      </x:c>
      <x:c r="C10" s="7" t="n">
        <x:v>5175</x:v>
      </x:c>
      <x:c r="D10" s="7" t="n">
        <x:v>5155</x:v>
      </x:c>
      <x:c r="E10" s="7" t="n">
        <x:v>5175</x:v>
      </x:c>
      <x:c r="F10" s="7" t="n">
        <x:v>20</x:v>
      </x:c>
      <x:c r="G10" s="7" t="n">
        <x:v>0</x:v>
      </x:c>
      <x:c r="H10" s="2" t="str">
        <x:v>Nov 2024</x:v>
      </x:c>
    </x:row>
    <x:row r="11" ht="23" customHeight="1">
      <x:c r="A11" s="6" t="d">
        <x:v>2024-11-01T00:00:00.000Z</x:v>
      </x:c>
      <x:c r="B11" s="2" t="str">
        <x:v>Credit card</x:v>
      </x:c>
      <x:c r="C11" s="7" t="n">
        <x:v>6095</x:v>
      </x:c>
      <x:c r="D11" s="7" t="n">
        <x:v>6086</x:v>
      </x:c>
      <x:c r="E11" s="7" t="n">
        <x:v>6095</x:v>
      </x:c>
      <x:c r="F11" s="7" t="n">
        <x:v>9</x:v>
      </x:c>
      <x:c r="G11" s="7" t="n">
        <x:v>0</x:v>
      </x:c>
      <x:c r="H11" s="2" t="str">
        <x:v>Nov 2024</x:v>
      </x:c>
    </x:row>
    <x:row r="12" ht="23" customHeight="1">
      <x:c r="A12" s="6" t="d">
        <x:v>2024-12-01T00:00:00.000Z</x:v>
      </x:c>
      <x:c r="B12" s="2" t="str">
        <x:v>Checking or savings account</x:v>
      </x:c>
      <x:c r="C12" s="7" t="n">
        <x:v>4798</x:v>
      </x:c>
      <x:c r="D12" s="7" t="n">
        <x:v>4779</x:v>
      </x:c>
      <x:c r="E12" s="7" t="n">
        <x:v>4798</x:v>
      </x:c>
      <x:c r="F12" s="7" t="n">
        <x:v>19</x:v>
      </x:c>
      <x:c r="G12" s="7" t="n">
        <x:v>0</x:v>
      </x:c>
      <x:c r="H12" s="2" t="str">
        <x:v>Dec 2024</x:v>
      </x:c>
    </x:row>
    <x:row r="13" ht="23" customHeight="1">
      <x:c r="A13" s="6" t="d">
        <x:v>2024-12-01T00:00:00.000Z</x:v>
      </x:c>
      <x:c r="B13" s="2" t="str">
        <x:v>Credit card</x:v>
      </x:c>
      <x:c r="C13" s="7" t="n">
        <x:v>6697</x:v>
      </x:c>
      <x:c r="D13" s="7" t="n">
        <x:v>6688</x:v>
      </x:c>
      <x:c r="E13" s="7" t="n">
        <x:v>6697</x:v>
      </x:c>
      <x:c r="F13" s="7" t="n">
        <x:v>9</x:v>
      </x:c>
      <x:c r="G13" s="7" t="n">
        <x:v>0</x:v>
      </x:c>
      <x:c r="H13" s="2" t="str">
        <x:v>Dec 2024</x:v>
      </x:c>
    </x:row>
    <x:row r="14" ht="23" customHeight="1">
      <x:c r="A14" s="6" t="d">
        <x:v>2025-01-01T00:00:00.000Z</x:v>
      </x:c>
      <x:c r="B14" s="2" t="str">
        <x:v>Checking or savings account</x:v>
      </x:c>
      <x:c r="C14" s="7" t="n">
        <x:v>18367</x:v>
      </x:c>
      <x:c r="D14" s="7" t="n">
        <x:v>18329</x:v>
      </x:c>
      <x:c r="E14" s="7" t="n">
        <x:v>18367</x:v>
      </x:c>
      <x:c r="F14" s="7" t="n">
        <x:v>38</x:v>
      </x:c>
      <x:c r="G14" s="7" t="n">
        <x:v>0</x:v>
      </x:c>
      <x:c r="H14" s="2" t="str">
        <x:v>Jan 2025</x:v>
      </x:c>
    </x:row>
    <x:row r="15" ht="23" customHeight="1">
      <x:c r="A15" s="6" t="d">
        <x:v>2025-01-01T00:00:00.000Z</x:v>
      </x:c>
      <x:c r="B15" s="2" t="str">
        <x:v>Credit card</x:v>
      </x:c>
      <x:c r="C15" s="7" t="n">
        <x:v>9073</x:v>
      </x:c>
      <x:c r="D15" s="7" t="n">
        <x:v>9047</x:v>
      </x:c>
      <x:c r="E15" s="7" t="n">
        <x:v>9073</x:v>
      </x:c>
      <x:c r="F15" s="7" t="n">
        <x:v>26</x:v>
      </x:c>
      <x:c r="G15" s="7" t="n">
        <x:v>0</x:v>
      </x:c>
      <x:c r="H15" s="2" t="str">
        <x:v>Jan 2025</x:v>
      </x:c>
    </x:row>
    <x:row r="16" ht="23" customHeight="1">
      <x:c r="A16" s="6" t="d">
        <x:v>2025-02-01T00:00:00.000Z</x:v>
      </x:c>
      <x:c r="B16" s="2" t="str">
        <x:v>Checking or savings account</x:v>
      </x:c>
      <x:c r="C16" s="7" t="n">
        <x:v>5452</x:v>
      </x:c>
      <x:c r="D16" s="7" t="n">
        <x:v>5421</x:v>
      </x:c>
      <x:c r="E16" s="7" t="n">
        <x:v>5452</x:v>
      </x:c>
      <x:c r="F16" s="7" t="n">
        <x:v>31</x:v>
      </x:c>
      <x:c r="G16" s="7" t="n">
        <x:v>0</x:v>
      </x:c>
      <x:c r="H16" s="2" t="str">
        <x:v>Feb 2025</x:v>
      </x:c>
    </x:row>
    <x:row r="17" ht="23" customHeight="1">
      <x:c r="A17" s="6" t="d">
        <x:v>2025-02-01T00:00:00.000Z</x:v>
      </x:c>
      <x:c r="B17" s="2" t="str">
        <x:v>Credit card</x:v>
      </x:c>
      <x:c r="C17" s="7" t="n">
        <x:v>6213</x:v>
      </x:c>
      <x:c r="D17" s="7" t="n">
        <x:v>6198</x:v>
      </x:c>
      <x:c r="E17" s="7" t="n">
        <x:v>6213</x:v>
      </x:c>
      <x:c r="F17" s="7" t="n">
        <x:v>15</x:v>
      </x:c>
      <x:c r="G17" s="7" t="n">
        <x:v>0</x:v>
      </x:c>
      <x:c r="H17" s="2" t="str">
        <x:v>Feb 2025</x:v>
      </x:c>
    </x:row>
    <x:row r="18" ht="23" customHeight="1">
      <x:c r="A18" s="6" t="d">
        <x:v>2025-03-01T00:00:00.000Z</x:v>
      </x:c>
      <x:c r="B18" s="2" t="str">
        <x:v>Checking or savings account</x:v>
      </x:c>
      <x:c r="C18" s="7" t="n">
        <x:v>5070</x:v>
      </x:c>
      <x:c r="D18" s="7" t="n">
        <x:v>5044</x:v>
      </x:c>
      <x:c r="E18" s="7" t="n">
        <x:v>5070</x:v>
      </x:c>
      <x:c r="F18" s="7" t="n">
        <x:v>26</x:v>
      </x:c>
      <x:c r="G18" s="7" t="n">
        <x:v>0</x:v>
      </x:c>
      <x:c r="H18" s="2" t="str">
        <x:v>Mar 2025</x:v>
      </x:c>
    </x:row>
    <x:row r="19" ht="23" customHeight="1">
      <x:c r="A19" s="6" t="d">
        <x:v>2025-03-01T00:00:00.000Z</x:v>
      </x:c>
      <x:c r="B19" s="2" t="str">
        <x:v>Credit card</x:v>
      </x:c>
      <x:c r="C19" s="7" t="n">
        <x:v>6255</x:v>
      </x:c>
      <x:c r="D19" s="7" t="n">
        <x:v>6244</x:v>
      </x:c>
      <x:c r="E19" s="7" t="n">
        <x:v>6255</x:v>
      </x:c>
      <x:c r="F19" s="7" t="n">
        <x:v>11</x:v>
      </x:c>
      <x:c r="G19" s="7" t="n">
        <x:v>0</x:v>
      </x:c>
      <x:c r="H19" s="2" t="str">
        <x:v>Mar 2025</x:v>
      </x:c>
    </x:row>
    <x:row r="20" ht="23" customHeight="1">
      <x:c r="A20" s="6" t="d">
        <x:v>2025-04-01T00:00:00.000Z</x:v>
      </x:c>
      <x:c r="B20" s="2" t="str">
        <x:v>Checking or savings account</x:v>
      </x:c>
      <x:c r="C20" s="7" t="n">
        <x:v>5229</x:v>
      </x:c>
      <x:c r="D20" s="7" t="n">
        <x:v>5191</x:v>
      </x:c>
      <x:c r="E20" s="7" t="n">
        <x:v>5229</x:v>
      </x:c>
      <x:c r="F20" s="7" t="n">
        <x:v>38</x:v>
      </x:c>
      <x:c r="G20" s="7" t="n">
        <x:v>0</x:v>
      </x:c>
      <x:c r="H20" s="2" t="str">
        <x:v>Apr 2025</x:v>
      </x:c>
    </x:row>
    <x:row r="21" ht="23" customHeight="1">
      <x:c r="A21" s="6" t="d">
        <x:v>2025-04-01T00:00:00.000Z</x:v>
      </x:c>
      <x:c r="B21" s="2" t="str">
        <x:v>Credit card</x:v>
      </x:c>
      <x:c r="C21" s="7" t="n">
        <x:v>6897</x:v>
      </x:c>
      <x:c r="D21" s="7" t="n">
        <x:v>6880</x:v>
      </x:c>
      <x:c r="E21" s="7" t="n">
        <x:v>6897</x:v>
      </x:c>
      <x:c r="F21" s="7" t="n">
        <x:v>17</x:v>
      </x:c>
      <x:c r="G21" s="7" t="n">
        <x:v>0</x:v>
      </x:c>
      <x:c r="H21" s="2" t="str">
        <x:v>Apr 2025</x:v>
      </x:c>
    </x:row>
    <x:row r="22" ht="23" customHeight="1">
      <x:c r="A22" s="6" t="d">
        <x:v>2025-05-01T00:00:00.000Z</x:v>
      </x:c>
      <x:c r="B22" s="2" t="str">
        <x:v>Checking or savings account</x:v>
      </x:c>
      <x:c r="C22" s="7" t="n">
        <x:v>5394</x:v>
      </x:c>
      <x:c r="D22" s="7" t="n">
        <x:v>5360</x:v>
      </x:c>
      <x:c r="E22" s="7" t="n">
        <x:v>5394</x:v>
      </x:c>
      <x:c r="F22" s="7" t="n">
        <x:v>34</x:v>
      </x:c>
      <x:c r="G22" s="7" t="n">
        <x:v>0</x:v>
      </x:c>
      <x:c r="H22" s="2" t="str">
        <x:v>May 2025</x:v>
      </x:c>
    </x:row>
    <x:row r="23" ht="23" customHeight="1">
      <x:c r="A23" s="6" t="d">
        <x:v>2025-05-01T00:00:00.000Z</x:v>
      </x:c>
      <x:c r="B23" s="2" t="str">
        <x:v>Credit card</x:v>
      </x:c>
      <x:c r="C23" s="7" t="n">
        <x:v>7515</x:v>
      </x:c>
      <x:c r="D23" s="7" t="n">
        <x:v>7498</x:v>
      </x:c>
      <x:c r="E23" s="7" t="n">
        <x:v>7515</x:v>
      </x:c>
      <x:c r="F23" s="7" t="n">
        <x:v>17</x:v>
      </x:c>
      <x:c r="G23" s="7" t="n">
        <x:v>0</x:v>
      </x:c>
      <x:c r="H23" s="2" t="str">
        <x:v>May 2025</x:v>
      </x:c>
    </x:row>
    <x:row r="24" ht="23" customHeight="1">
      <x:c r="A24" s="6" t="d">
        <x:v>2025-06-01T00:00:00.000Z</x:v>
      </x:c>
      <x:c r="B24" s="2" t="str">
        <x:v>Checking or savings account</x:v>
      </x:c>
      <x:c r="C24" s="7" t="n">
        <x:v>5557</x:v>
      </x:c>
      <x:c r="D24" s="7" t="n">
        <x:v>5422</x:v>
      </x:c>
      <x:c r="E24" s="7" t="n">
        <x:v>5557</x:v>
      </x:c>
      <x:c r="F24" s="7" t="n">
        <x:v>135</x:v>
      </x:c>
      <x:c r="G24" s="7" t="n">
        <x:v>0</x:v>
      </x:c>
      <x:c r="H24" s="2" t="str">
        <x:v>Jun 2025</x:v>
      </x:c>
    </x:row>
    <x:row r="25" ht="23" customHeight="1">
      <x:c r="A25" s="6" t="d">
        <x:v>2025-06-01T00:00:00.000Z</x:v>
      </x:c>
      <x:c r="B25" s="2" t="str">
        <x:v>Credit card</x:v>
      </x:c>
      <x:c r="C25" s="7" t="n">
        <x:v>7364</x:v>
      </x:c>
      <x:c r="D25" s="7" t="n">
        <x:v>7325</x:v>
      </x:c>
      <x:c r="E25" s="7" t="n">
        <x:v>7364</x:v>
      </x:c>
      <x:c r="F25" s="7" t="n">
        <x:v>39</x:v>
      </x:c>
      <x:c r="G25" s="7" t="n">
        <x:v>0</x:v>
      </x:c>
      <x:c r="H25" s="2" t="str">
        <x:v>Jun 2025</x:v>
      </x:c>
    </x:row>
    <x:row r="26" ht="23" customHeight="1">
      <x:c r="A26" s="6" t="d">
        <x:v>2025-07-01T00:00:00.000Z</x:v>
      </x:c>
      <x:c r="B26" s="2" t="str">
        <x:v>Checking or savings account</x:v>
      </x:c>
      <x:c r="C26" s="7" t="n">
        <x:v>6403</x:v>
      </x:c>
      <x:c r="D26" s="7" t="n">
        <x:v>6316</x:v>
      </x:c>
      <x:c r="E26" s="7" t="n">
        <x:v>6403</x:v>
      </x:c>
      <x:c r="F26" s="7" t="n">
        <x:v>87</x:v>
      </x:c>
      <x:c r="G26" s="7" t="n">
        <x:v>0</x:v>
      </x:c>
      <x:c r="H26" s="2" t="str">
        <x:v>Jul 2025</x:v>
      </x:c>
    </x:row>
    <x:row r="27" ht="23" customHeight="1">
      <x:c r="A27" s="6" t="d">
        <x:v>2025-07-01T00:00:00.000Z</x:v>
      </x:c>
      <x:c r="B27" s="2" t="str">
        <x:v>Credit card</x:v>
      </x:c>
      <x:c r="C27" s="7" t="n">
        <x:v>8105</x:v>
      </x:c>
      <x:c r="D27" s="7" t="n">
        <x:v>8084</x:v>
      </x:c>
      <x:c r="E27" s="7" t="n">
        <x:v>8105</x:v>
      </x:c>
      <x:c r="F27" s="7" t="n">
        <x:v>21</x:v>
      </x:c>
      <x:c r="G27" s="7" t="n">
        <x:v>0</x:v>
      </x:c>
      <x:c r="H27" s="2" t="str">
        <x:v>Jul 2025</x:v>
      </x:c>
    </x:row>
    <x:row r="28" ht="23" customHeight="1">
      <x:c r="A28" s="6" t="d">
        <x:v>2025-08-01T00:00:00.000Z</x:v>
      </x:c>
      <x:c r="B28" s="2" t="str">
        <x:v>Checking or savings account</x:v>
      </x:c>
      <x:c r="C28" s="7" t="n">
        <x:v>6505</x:v>
      </x:c>
      <x:c r="D28" s="7" t="n">
        <x:v>6457</x:v>
      </x:c>
      <x:c r="E28" s="7" t="n">
        <x:v>6505</x:v>
      </x:c>
      <x:c r="F28" s="7" t="n">
        <x:v>48</x:v>
      </x:c>
      <x:c r="G28" s="7" t="n">
        <x:v>0</x:v>
      </x:c>
      <x:c r="H28" s="2" t="str">
        <x:v>Aug 2025</x:v>
      </x:c>
    </x:row>
    <x:row r="29" ht="23" customHeight="1">
      <x:c r="A29" s="6" t="d">
        <x:v>2025-08-01T00:00:00.000Z</x:v>
      </x:c>
      <x:c r="B29" s="2" t="str">
        <x:v>Credit card</x:v>
      </x:c>
      <x:c r="C29" s="7" t="n">
        <x:v>7919</x:v>
      </x:c>
      <x:c r="D29" s="7" t="n">
        <x:v>7894</x:v>
      </x:c>
      <x:c r="E29" s="7" t="n">
        <x:v>7919</x:v>
      </x:c>
      <x:c r="F29" s="7" t="n">
        <x:v>25</x:v>
      </x:c>
      <x:c r="G29" s="7" t="n">
        <x:v>0</x:v>
      </x:c>
      <x:c r="H29" s="2" t="str">
        <x:v>Aug 2025</x:v>
      </x:c>
    </x:row>
    <x:row r="30" ht="23" customHeight="1">
      <x:c r="A30" s="6" t="d">
        <x:v>2025-09-01T00:00:00.000Z</x:v>
      </x:c>
      <x:c r="B30" s="2" t="str">
        <x:v>Checking or savings account</x:v>
      </x:c>
      <x:c r="C30" s="7" t="n">
        <x:v>6141</x:v>
      </x:c>
      <x:c r="D30" s="7" t="n">
        <x:v>6102</x:v>
      </x:c>
      <x:c r="E30" s="7" t="n">
        <x:v>6141</x:v>
      </x:c>
      <x:c r="F30" s="7" t="n">
        <x:v>39</x:v>
      </x:c>
      <x:c r="G30" s="7" t="n">
        <x:v>0</x:v>
      </x:c>
      <x:c r="H30" s="2" t="str">
        <x:v>Sep 2025</x:v>
      </x:c>
    </x:row>
    <x:row r="31" ht="23" customHeight="1">
      <x:c r="A31" s="6" t="d">
        <x:v>2025-09-01T00:00:00.000Z</x:v>
      </x:c>
      <x:c r="B31" s="2" t="str">
        <x:v>Credit card</x:v>
      </x:c>
      <x:c r="C31" s="7" t="n">
        <x:v>8504</x:v>
      </x:c>
      <x:c r="D31" s="7" t="n">
        <x:v>8485</x:v>
      </x:c>
      <x:c r="E31" s="7" t="n">
        <x:v>8504</x:v>
      </x:c>
      <x:c r="F31" s="7" t="n">
        <x:v>19</x:v>
      </x:c>
      <x:c r="G31" s="7" t="n">
        <x:v>0</x:v>
      </x:c>
      <x:c r="H31" s="2" t="str">
        <x:v>Sep 2025</x:v>
      </x:c>
    </x:row>
    <x:row r="32" ht="23" customHeight="1">
      <x:c r="A32" s="6" t="d">
        <x:v>2025-10-01T00:00:00.000Z</x:v>
      </x:c>
      <x:c r="B32" s="2" t="str">
        <x:v>Checking or savings account</x:v>
      </x:c>
      <x:c r="C32" s="7" t="n">
        <x:v>6308</x:v>
      </x:c>
      <x:c r="D32" s="7" t="n">
        <x:v>6276</x:v>
      </x:c>
      <x:c r="E32" s="7" t="n">
        <x:v>6308</x:v>
      </x:c>
      <x:c r="F32" s="7" t="n">
        <x:v>32</x:v>
      </x:c>
      <x:c r="G32" s="7" t="n">
        <x:v>0</x:v>
      </x:c>
      <x:c r="H32" s="2" t="str">
        <x:v>Oct 2025</x:v>
      </x:c>
    </x:row>
    <x:row r="33" ht="23" customHeight="1">
      <x:c r="A33" s="6" t="d">
        <x:v>2025-10-01T00:00:00.000Z</x:v>
      </x:c>
      <x:c r="B33" s="2" t="str">
        <x:v>Credit card</x:v>
      </x:c>
      <x:c r="C33" s="7" t="n">
        <x:v>7413</x:v>
      </x:c>
      <x:c r="D33" s="7" t="n">
        <x:v>7392</x:v>
      </x:c>
      <x:c r="E33" s="7" t="n">
        <x:v>7413</x:v>
      </x:c>
      <x:c r="F33" s="7" t="n">
        <x:v>21</x:v>
      </x:c>
      <x:c r="G33" s="7" t="n">
        <x:v>0</x:v>
      </x:c>
      <x:c r="H33" s="2" t="str">
        <x:v>Oct 2025</x:v>
      </x:c>
    </x:row>
    <x:row r="34" ht="23" customHeight="1">
      <x:c r="A34" s="6" t="d">
        <x:v>2025-11-01T00:00:00.000Z</x:v>
      </x:c>
      <x:c r="B34" s="2" t="str">
        <x:v>Checking or savings account</x:v>
      </x:c>
      <x:c r="C34" s="7" t="n">
        <x:v>6077</x:v>
      </x:c>
      <x:c r="D34" s="7" t="n">
        <x:v>6030</x:v>
      </x:c>
      <x:c r="E34" s="7" t="n">
        <x:v>6077</x:v>
      </x:c>
      <x:c r="F34" s="7" t="n">
        <x:v>47</x:v>
      </x:c>
      <x:c r="G34" s="7" t="n">
        <x:v>0</x:v>
      </x:c>
      <x:c r="H34" s="2" t="str">
        <x:v>Nov 2025</x:v>
      </x:c>
    </x:row>
    <x:row r="35" ht="23" customHeight="1">
      <x:c r="A35" s="6" t="d">
        <x:v>2025-11-01T00:00:00.000Z</x:v>
      </x:c>
      <x:c r="B35" s="2" t="str">
        <x:v>Credit card</x:v>
      </x:c>
      <x:c r="C35" s="7" t="n">
        <x:v>6861</x:v>
      </x:c>
      <x:c r="D35" s="7" t="n">
        <x:v>6820</x:v>
      </x:c>
      <x:c r="E35" s="7" t="n">
        <x:v>6861</x:v>
      </x:c>
      <x:c r="F35" s="7" t="n">
        <x:v>41</x:v>
      </x:c>
      <x:c r="G35" s="7" t="n">
        <x:v>0</x:v>
      </x:c>
      <x:c r="H35" s="2" t="str">
        <x:v>Nov 2025</x:v>
      </x:c>
    </x:row>
    <x:row r="36" ht="23" customHeight="1">
      <x:c r="A36" s="6" t="d">
        <x:v>2025-12-01T00:00:00.000Z</x:v>
      </x:c>
      <x:c r="B36" s="2" t="str">
        <x:v>Checking or savings account</x:v>
      </x:c>
      <x:c r="C36" s="7" t="n">
        <x:v>7692</x:v>
      </x:c>
      <x:c r="D36" s="7" t="n">
        <x:v>7638</x:v>
      </x:c>
      <x:c r="E36" s="7" t="n">
        <x:v>7692</x:v>
      </x:c>
      <x:c r="F36" s="7" t="n">
        <x:v>54</x:v>
      </x:c>
      <x:c r="G36" s="7" t="n">
        <x:v>0</x:v>
      </x:c>
      <x:c r="H36" s="2" t="str">
        <x:v>Dec 2025</x:v>
      </x:c>
    </x:row>
    <x:row r="37" ht="23" customHeight="1">
      <x:c r="A37" s="6" t="d">
        <x:v>2025-12-01T00:00:00.000Z</x:v>
      </x:c>
      <x:c r="B37" s="2" t="str">
        <x:v>Credit card</x:v>
      </x:c>
      <x:c r="C37" s="7" t="n">
        <x:v>7859</x:v>
      </x:c>
      <x:c r="D37" s="7" t="n">
        <x:v>7766</x:v>
      </x:c>
      <x:c r="E37" s="7" t="n">
        <x:v>7859</x:v>
      </x:c>
      <x:c r="F37" s="7" t="n">
        <x:v>93</x:v>
      </x:c>
      <x:c r="G37" s="7" t="n">
        <x:v>0</x:v>
      </x:c>
      <x:c r="H37" s="2" t="str">
        <x:v>Dec 2025</x:v>
      </x:c>
    </x:row>
    <x:row r="38" ht="23" customHeight="1">
      <x:c r="A38" s="6" t="d">
        <x:v>2026-01-01T00:00:00.000Z</x:v>
      </x:c>
      <x:c r="B38" s="2" t="str">
        <x:v>Checking or savings account</x:v>
      </x:c>
      <x:c r="C38" s="7" t="n">
        <x:v>7916</x:v>
      </x:c>
      <x:c r="D38" s="7" t="n">
        <x:v>7870</x:v>
      </x:c>
      <x:c r="E38" s="7" t="n">
        <x:v>7916</x:v>
      </x:c>
      <x:c r="F38" s="7" t="n">
        <x:v>46</x:v>
      </x:c>
      <x:c r="G38" s="7" t="n">
        <x:v>0</x:v>
      </x:c>
      <x:c r="H38" s="2" t="str">
        <x:v>Jan 2026</x:v>
      </x:c>
    </x:row>
    <x:row r="39" ht="23" customHeight="1">
      <x:c r="A39" s="6" t="d">
        <x:v>2026-01-01T00:00:00.000Z</x:v>
      </x:c>
      <x:c r="B39" s="2" t="str">
        <x:v>Credit card</x:v>
      </x:c>
      <x:c r="C39" s="7" t="n">
        <x:v>9516</x:v>
      </x:c>
      <x:c r="D39" s="7" t="n">
        <x:v>9407</x:v>
      </x:c>
      <x:c r="E39" s="7" t="n">
        <x:v>9516</x:v>
      </x:c>
      <x:c r="F39" s="7" t="n">
        <x:v>109</x:v>
      </x:c>
      <x:c r="G39" s="7" t="n">
        <x:v>0</x:v>
      </x:c>
      <x:c r="H39" s="2" t="str">
        <x:v>Jan 2026</x:v>
      </x:c>
    </x:row>
    <x:row r="40" ht="23" customHeight="1">
      <x:c r="A40" s="6" t="d">
        <x:v>2026-02-01T00:00:00.000Z</x:v>
      </x:c>
      <x:c r="B40" s="2" t="str">
        <x:v>Checking or savings account</x:v>
      </x:c>
      <x:c r="C40" s="7" t="n">
        <x:v>6559</x:v>
      </x:c>
      <x:c r="D40" s="7" t="n">
        <x:v>6516</x:v>
      </x:c>
      <x:c r="E40" s="7" t="n">
        <x:v>6559</x:v>
      </x:c>
      <x:c r="F40" s="7" t="n">
        <x:v>43</x:v>
      </x:c>
      <x:c r="G40" s="7" t="n">
        <x:v>0</x:v>
      </x:c>
      <x:c r="H40" s="2" t="str">
        <x:v>Feb 2026</x:v>
      </x:c>
    </x:row>
    <x:row r="41" ht="23" customHeight="1">
      <x:c r="A41" s="6" t="d">
        <x:v>2026-02-01T00:00:00.000Z</x:v>
      </x:c>
      <x:c r="B41" s="2" t="str">
        <x:v>Credit card</x:v>
      </x:c>
      <x:c r="C41" s="7" t="n">
        <x:v>7401</x:v>
      </x:c>
      <x:c r="D41" s="7" t="n">
        <x:v>7267</x:v>
      </x:c>
      <x:c r="E41" s="7" t="n">
        <x:v>7401</x:v>
      </x:c>
      <x:c r="F41" s="7" t="n">
        <x:v>134</x:v>
      </x:c>
      <x:c r="G41" s="7" t="n">
        <x:v>0</x:v>
      </x:c>
      <x:c r="H41" s="2" t="str">
        <x:v>Feb 2026</x:v>
      </x:c>
    </x:row>
    <x:row r="42" ht="23" customHeight="1">
      <x:c r="A42" s="6" t="d">
        <x:v>2026-03-01T00:00:00.000Z</x:v>
      </x:c>
      <x:c r="B42" s="2" t="str">
        <x:v>Checking or savings account</x:v>
      </x:c>
      <x:c r="C42" s="7" t="n">
        <x:v>7824</x:v>
      </x:c>
      <x:c r="D42" s="7" t="n">
        <x:v>7767</x:v>
      </x:c>
      <x:c r="E42" s="7" t="n">
        <x:v>7824</x:v>
      </x:c>
      <x:c r="F42" s="7" t="n">
        <x:v>57</x:v>
      </x:c>
      <x:c r="G42" s="7" t="n">
        <x:v>0</x:v>
      </x:c>
      <x:c r="H42" s="2" t="str">
        <x:v>Mar 2026</x:v>
      </x:c>
    </x:row>
    <x:row r="43" ht="23" customHeight="1">
      <x:c r="A43" s="6" t="d">
        <x:v>2026-03-01T00:00:00.000Z</x:v>
      </x:c>
      <x:c r="B43" s="2" t="str">
        <x:v>Credit card</x:v>
      </x:c>
      <x:c r="C43" s="7" t="n">
        <x:v>8327</x:v>
      </x:c>
      <x:c r="D43" s="7" t="n">
        <x:v>8215</x:v>
      </x:c>
      <x:c r="E43" s="7" t="n">
        <x:v>8327</x:v>
      </x:c>
      <x:c r="F43" s="7" t="n">
        <x:v>112</x:v>
      </x:c>
      <x:c r="G43" s="7" t="n">
        <x:v>0</x:v>
      </x:c>
      <x:c r="H43" s="2" t="str">
        <x:v>Mar 2026</x:v>
      </x:c>
    </x:row>
    <x:row r="44" ht="23" customHeight="1">
      <x:c r="A44" s="6" t="d">
        <x:v>2026-04-01T00:00:00.000Z</x:v>
      </x:c>
      <x:c r="B44" s="2" t="str">
        <x:v>Checking or savings account</x:v>
      </x:c>
      <x:c r="C44" s="7" t="n">
        <x:v>7676</x:v>
      </x:c>
      <x:c r="D44" s="7" t="n">
        <x:v>7596</x:v>
      </x:c>
      <x:c r="E44" s="7" t="n">
        <x:v>7676</x:v>
      </x:c>
      <x:c r="F44" s="7" t="n">
        <x:v>80</x:v>
      </x:c>
      <x:c r="G44" s="7" t="n">
        <x:v>0</x:v>
      </x:c>
      <x:c r="H44" s="2" t="str">
        <x:v>Apr 2026</x:v>
      </x:c>
    </x:row>
    <x:row r="45" ht="23" customHeight="1">
      <x:c r="A45" s="6" t="d">
        <x:v>2026-04-01T00:00:00.000Z</x:v>
      </x:c>
      <x:c r="B45" s="2" t="str">
        <x:v>Credit card</x:v>
      </x:c>
      <x:c r="C45" s="7" t="n">
        <x:v>8228</x:v>
      </x:c>
      <x:c r="D45" s="7" t="n">
        <x:v>8107</x:v>
      </x:c>
      <x:c r="E45" s="7" t="n">
        <x:v>8228</x:v>
      </x:c>
      <x:c r="F45" s="7" t="n">
        <x:v>121</x:v>
      </x:c>
      <x:c r="G45" s="7" t="n">
        <x:v>0</x:v>
      </x:c>
      <x:c r="H45" s="2" t="str">
        <x:v>Apr 2026</x:v>
      </x:c>
    </x:row>
    <x:row r="46" ht="23" customHeight="1">
      <x:c r="A46" s="6" t="d">
        <x:v>2026-05-01T00:00:00.000Z</x:v>
      </x:c>
      <x:c r="B46" s="2" t="str">
        <x:v>Checking or savings account</x:v>
      </x:c>
      <x:c r="C46" s="7" t="n">
        <x:v>7200</x:v>
      </x:c>
      <x:c r="D46" s="7" t="n">
        <x:v>7151</x:v>
      </x:c>
      <x:c r="E46" s="7" t="n">
        <x:v>7200</x:v>
      </x:c>
      <x:c r="F46" s="7" t="n">
        <x:v>49</x:v>
      </x:c>
      <x:c r="G46" s="7" t="n">
        <x:v>0</x:v>
      </x:c>
      <x:c r="H46" s="2" t="str">
        <x:v>May 2026</x:v>
      </x:c>
    </x:row>
    <x:row r="47" ht="23" customHeight="1">
      <x:c r="A47" s="6" t="d">
        <x:v>2026-05-01T00:00:00.000Z</x:v>
      </x:c>
      <x:c r="B47" s="2" t="str">
        <x:v>Credit card</x:v>
      </x:c>
      <x:c r="C47" s="7" t="n">
        <x:v>7923</x:v>
      </x:c>
      <x:c r="D47" s="7" t="n">
        <x:v>7751</x:v>
      </x:c>
      <x:c r="E47" s="7" t="n">
        <x:v>7923</x:v>
      </x:c>
      <x:c r="F47" s="7" t="n">
        <x:v>172</x:v>
      </x:c>
      <x:c r="G47" s="7" t="n">
        <x:v>0</x:v>
      </x:c>
      <x:c r="H47" s="2" t="str">
        <x:v>May 2026</x:v>
      </x:c>
    </x:row>
    <x:row r="48" ht="23" customHeight="1">
      <x:c r="A48" s="6" t="d">
        <x:v>2026-06-01T00:00:00.000Z</x:v>
      </x:c>
      <x:c r="B48" s="2" t="str">
        <x:v>Checking or savings account</x:v>
      </x:c>
      <x:c r="C48" s="7" t="n">
        <x:v>7672</x:v>
      </x:c>
      <x:c r="D48" s="7" t="n">
        <x:v>7614</x:v>
      </x:c>
      <x:c r="E48" s="7" t="n">
        <x:v>7672</x:v>
      </x:c>
      <x:c r="F48" s="7" t="n">
        <x:v>58</x:v>
      </x:c>
      <x:c r="G48" s="7" t="n">
        <x:v>0</x:v>
      </x:c>
      <x:c r="H48" s="2" t="str">
        <x:v>Jun 2026</x:v>
      </x:c>
    </x:row>
    <x:row r="49" ht="23" customHeight="1">
      <x:c r="A49" s="6" t="d">
        <x:v>2026-06-01T00:00:00.000Z</x:v>
      </x:c>
      <x:c r="B49" s="2" t="str">
        <x:v>Credit card</x:v>
      </x:c>
      <x:c r="C49" s="7" t="n">
        <x:v>7467</x:v>
      </x:c>
      <x:c r="D49" s="7" t="n">
        <x:v>7312</x:v>
      </x:c>
      <x:c r="E49" s="7" t="n">
        <x:v>7467</x:v>
      </x:c>
      <x:c r="F49" s="7" t="n">
        <x:v>155</x:v>
      </x:c>
      <x:c r="G49" s="7" t="n">
        <x:v>0</x:v>
      </x:c>
      <x:c r="H49" s="2" t="str">
        <x:v>Jun 2026</x:v>
      </x:c>
    </x:row>
    <x:row r="50" ht="23" customHeight="1">
      <x:c r="A50" s="6" t="d">
        <x:v>2026-07-01T00:00:00.000Z</x:v>
      </x:c>
      <x:c r="B50" s="2" t="str">
        <x:v>Checking or savings account</x:v>
      </x:c>
      <x:c r="C50" s="7" t="n">
        <x:v>8014</x:v>
      </x:c>
      <x:c r="D50" s="7" t="n">
        <x:v>7955</x:v>
      </x:c>
      <x:c r="E50" s="7" t="n">
        <x:v>8014</x:v>
      </x:c>
      <x:c r="F50" s="7" t="n">
        <x:v>59</x:v>
      </x:c>
      <x:c r="G50" s="7" t="n">
        <x:v>0</x:v>
      </x:c>
      <x:c r="H50" s="2" t="str">
        <x:v>Jul 2026</x:v>
      </x:c>
    </x:row>
    <x:row r="51" ht="23" customHeight="1">
      <x:c r="A51" s="6" t="d">
        <x:v>2026-07-01T00:00:00.000Z</x:v>
      </x:c>
      <x:c r="B51" s="2" t="str">
        <x:v>Credit card</x:v>
      </x:c>
      <x:c r="C51" s="7" t="n">
        <x:v>8109</x:v>
      </x:c>
      <x:c r="D51" s="7" t="n">
        <x:v>7979</x:v>
      </x:c>
      <x:c r="E51" s="7" t="n">
        <x:v>8109</x:v>
      </x:c>
      <x:c r="F51" s="7" t="n">
        <x:v>130</x:v>
      </x:c>
      <x:c r="G51" s="7" t="n">
        <x:v>0</x:v>
      </x:c>
      <x:c r="H51" s="2" t="str">
        <x:v>Jul 2026</x:v>
      </x:c>
    </x:row>
    <x:row r="52" ht="23" customHeight="1">
      <x:c r="A52" s="6" t="d">
        <x:v>2026-08-01T00:00:00.000Z</x:v>
      </x:c>
      <x:c r="B52" s="2" t="str">
        <x:v>Checking or savings account</x:v>
      </x:c>
      <x:c r="C52" s="7" t="n">
        <x:v>7872</x:v>
      </x:c>
      <x:c r="D52" s="7" t="n">
        <x:v>7824</x:v>
      </x:c>
      <x:c r="E52" s="7" t="n">
        <x:v>7872</x:v>
      </x:c>
      <x:c r="F52" s="7" t="n">
        <x:v>48</x:v>
      </x:c>
      <x:c r="G52" s="7" t="n">
        <x:v>0</x:v>
      </x:c>
      <x:c r="H52" s="2" t="str">
        <x:v>Aug 2026</x:v>
      </x:c>
    </x:row>
    <x:row r="53" ht="23" customHeight="1">
      <x:c r="A53" s="6" t="d">
        <x:v>2026-08-01T00:00:00.000Z</x:v>
      </x:c>
      <x:c r="B53" s="2" t="str">
        <x:v>Credit card</x:v>
      </x:c>
      <x:c r="C53" s="7" t="n">
        <x:v>8329</x:v>
      </x:c>
      <x:c r="D53" s="7" t="n">
        <x:v>8281</x:v>
      </x:c>
      <x:c r="E53" s="7" t="n">
        <x:v>8329</x:v>
      </x:c>
      <x:c r="F53" s="7" t="n">
        <x:v>48</x:v>
      </x:c>
      <x:c r="G53" s="7" t="n">
        <x:v>0</x:v>
      </x:c>
      <x:c r="H53" s="2" t="str">
        <x:v>Aug 2026</x:v>
      </x:c>
    </x:row>
    <x:row r="54" ht="23" customHeight="1">
      <x:c r="A54" s="6" t="d">
        <x:v>2026-09-01T00:00:00.000Z</x:v>
      </x:c>
      <x:c r="B54" s="2" t="str">
        <x:v>Checking or savings account</x:v>
      </x:c>
      <x:c r="C54" s="7" t="n">
        <x:v>8079</x:v>
      </x:c>
      <x:c r="D54" s="7" t="n">
        <x:v>8058</x:v>
      </x:c>
      <x:c r="E54" s="7" t="n">
        <x:v>8079</x:v>
      </x:c>
      <x:c r="F54" s="7" t="n">
        <x:v>21</x:v>
      </x:c>
      <x:c r="G54" s="7" t="n">
        <x:v>0</x:v>
      </x:c>
      <x:c r="H54" s="2" t="str">
        <x:v>Sep 2026</x:v>
      </x:c>
    </x:row>
    <x:row r="55" ht="23" customHeight="1">
      <x:c r="A55" s="6" t="d">
        <x:v>2026-09-01T00:00:00.000Z</x:v>
      </x:c>
      <x:c r="B55" s="2" t="str">
        <x:v>Credit card</x:v>
      </x:c>
      <x:c r="C55" s="7" t="n">
        <x:v>8572</x:v>
      </x:c>
      <x:c r="D55" s="7" t="n">
        <x:v>8553</x:v>
      </x:c>
      <x:c r="E55" s="7" t="n">
        <x:v>8572</x:v>
      </x:c>
      <x:c r="F55" s="7" t="n">
        <x:v>19</x:v>
      </x:c>
      <x:c r="G55" s="7" t="n">
        <x:v>0</x:v>
      </x:c>
      <x:c r="H55" s="2" t="str">
        <x:v>Sep 2026</x:v>
      </x:c>
    </x:row>
  </x:sheetData>
  <x:pageMargins left="0.7" right="0.7" top="0.75" bottom="0.75" header="0.3" footer="0.3"/>
  <x:tableParts count="1">
    <x:tablePart xmlns:r="http://schemas.openxmlformats.org/officeDocument/2006/relationships" r:id="R2b9c6c63667147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7" hidden="0" customWidth="1"/>
    <x:col min="3" max="3" width="16" hidden="0" customWidth="1"/>
    <x:col min="4" max="4" width="16" hidden="0" customWidth="1"/>
  </x:cols>
  <x:sheetData>
    <x:row r="1" ht="23" customHeight="1">
      <x:c r="A1" s="2"/>
      <x:c r="B1" s="2"/>
      <x:c r="C1" s="2"/>
      <x:c r="D1" s="2"/>
    </x:row>
    <x:row r="2" ht="30" customHeight="1">
      <x:c r="A2" s="3" t="str">
        <x:v>Product mapping</x:v>
      </x:c>
      <x:c r="B2" s="2"/>
      <x:c r="C2" s="2"/>
      <x:c r="D2" s="2"/>
    </x:row>
    <x:row r="3" ht="23" customHeight="1">
      <x:c r="A3" s="4"/>
      <x:c r="B3" s="4"/>
      <x:c r="C3" s="4"/>
      <x:c r="D3" s="4"/>
      <x:c r="E3" s="5"/>
      <x:c r="F3" s="5"/>
      <x:c r="G3" s="5"/>
      <x:c r="H3" s="5"/>
      <x:c r="I3" s="5"/>
      <x:c r="J3" s="5"/>
      <x:c r="K3" s="5"/>
      <x:c r="L3" s="5"/>
    </x:row>
    <x:row r="4" ht="23" customHeight="1">
      <x:c r="A4" s="2" t="str">
        <x:v>Review-team mapping is a fictional portfolio workflow assumption.</x:v>
      </x:c>
      <x:c r="B4" s="2"/>
      <x:c r="C4" s="2"/>
      <x:c r="D4" s="2"/>
    </x:row>
    <x:row r="5" ht="23" customHeight="1">
      <x:c r="A5" s="2"/>
      <x:c r="B5" s="2"/>
      <x:c r="C5" s="2"/>
      <x:c r="D5" s="2"/>
    </x:row>
    <x:row r="6" ht="34" customHeight="1">
      <x:c r="A6" s="11" t="str">
        <x:v>Product</x:v>
      </x:c>
      <x:c r="B6" s="11" t="str">
        <x:v>Review team</x:v>
      </x:c>
      <x:c r="C6" s="2"/>
      <x:c r="D6" s="2"/>
    </x:row>
    <x:row r="7" ht="23" customHeight="1">
      <x:c r="A7" s="2" t="str">
        <x:v>Credit card</x:v>
      </x:c>
      <x:c r="B7" s="12" t="str">
        <x:v>Card operations</x:v>
      </x:c>
      <x:c r="C7" s="2"/>
      <x:c r="D7" s="2"/>
    </x:row>
    <x:row r="8" ht="23" customHeight="1">
      <x:c r="A8" s="2" t="str">
        <x:v>Checking or savings account</x:v>
      </x:c>
      <x:c r="B8" s="12" t="str">
        <x:v>Deposit operations</x:v>
      </x:c>
      <x:c r="C8" s="2"/>
      <x:c r="D8" s="2"/>
    </x:row>
    <x:row r="9" ht="23" customHeight="1">
      <x:c r="A9" s="2"/>
      <x:c r="B9" s="2"/>
      <x:c r="C9" s="2"/>
      <x:c r="D9" s="2"/>
    </x:row>
    <x:row r="10" ht="23" customHeight="1">
      <x:c r="A10" s="2"/>
      <x:c r="B10" s="2"/>
      <x:c r="C10" s="2"/>
      <x:c r="D10" s="2"/>
    </x:row>
    <x:row r="11" ht="23" customHeight="1">
      <x:c r="A11" s="2"/>
      <x:c r="B11" s="2"/>
      <x:c r="C11" s="2"/>
      <x:c r="D11" s="2"/>
    </x:row>
    <x:row r="12" ht="23" customHeight="1">
      <x:c r="A12" s="2"/>
      <x:c r="B12" s="2"/>
      <x:c r="C12" s="2"/>
      <x:c r="D12" s="2"/>
    </x:row>
  </x:sheetData>
  <x:pageMargins left="0.7" right="0.7" top="0.75" bottom="0.75" header="0.3" footer="0.3"/>
  <x:tableParts count="1">
    <x:tablePart xmlns:r="http://schemas.openxmlformats.org/officeDocument/2006/relationships" r:id="R8c4b5c92402e42d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62" hidden="0" customWidth="1"/>
    <x:col min="5" max="5" width="62" hidden="0" customWidth="1"/>
    <x:col min="6" max="6" width="34" hidden="0" customWidth="1"/>
    <x:col min="7" max="7" width="16" hidden="0" customWidth="1"/>
    <x:col min="8" max="8" width="16" hidden="0" customWidth="1"/>
    <x:col min="9" max="9" width="34" hidden="0" customWidth="1"/>
    <x:col min="10" max="10" width="3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User acceptance testing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5"/>
      <x:c r="L3" s="5"/>
    </x:row>
    <x:row r="4" ht="23" customHeight="1">
      <x:c r="A4" s="2" t="str">
        <x:v>Human acceptance: pending. Developer test evidence is separate; no stakeholder sign-off is claimed.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4" customHeight="1">
      <x:c r="A6" s="11" t="str">
        <x:v>Test ID</x:v>
      </x:c>
      <x:c r="B6" s="11" t="str">
        <x:v>Requirement</x:v>
      </x:c>
      <x:c r="C6" s="11" t="str">
        <x:v>Scenario</x:v>
      </x:c>
      <x:c r="D6" s="11" t="str">
        <x:v>Steps</x:v>
      </x:c>
      <x:c r="E6" s="11" t="str">
        <x:v>Expected result</x:v>
      </x:c>
      <x:c r="F6" s="11" t="str">
        <x:v>Actual result</x:v>
      </x:c>
      <x:c r="G6" s="11" t="str">
        <x:v>Status</x:v>
      </x:c>
      <x:c r="H6" s="11" t="str">
        <x:v>Reviewer</x:v>
      </x:c>
      <x:c r="I6" s="11" t="str">
        <x:v>Evidence / defect</x:v>
      </x:c>
      <x:c r="J6" s="11" t="str">
        <x:v>Developer check reference</x:v>
      </x:c>
    </x:row>
    <x:row r="7" ht="82" customHeight="1">
      <x:c r="A7" s="2" t="str">
        <x:v>UAT-01</x:v>
      </x:c>
      <x:c r="B7" s="2" t="str">
        <x:v>R01</x:v>
      </x:c>
      <x:c r="C7" s="15" t="str">
        <x:v>Complete-month scope</x:v>
      </x:c>
      <x:c r="D7" s="15" t="str">
        <x:v>Open Executive overview with default filters. Compare dates and total to reports/quality.json.</x:v>
      </x:c>
      <x:c r="E7" s="15" t="str">
        <x:v>24 complete months and the complete-population count agree. Partial month is excluded.</x:v>
      </x:c>
      <x:c r="F7" s="25" t="str"/>
      <x:c r="G7" s="25" t="str">
        <x:v>Not run</x:v>
      </x:c>
      <x:c r="H7" s="25" t="str"/>
      <x:c r="I7" s="25" t="str"/>
      <x:c r="J7" s="15" t="str">
        <x:v>test_source_to_marts_reconciliation</x:v>
      </x:c>
    </x:row>
    <x:row r="8" ht="82" customHeight="1">
      <x:c r="A8" s="2" t="str">
        <x:v>UAT-02</x:v>
      </x:c>
      <x:c r="B8" s="2" t="str">
        <x:v>R01</x:v>
      </x:c>
      <x:c r="C8" s="15" t="str">
        <x:v>Partial month separation</x:v>
      </x:c>
      <x:c r="D8" s="15" t="str">
        <x:v>Read the partial-month note and compare its count to quality.json partial.complaints.</x:v>
      </x:c>
      <x:c r="E8" s="15" t="str">
        <x:v>Partial count agrees and is not added to the main count.</x:v>
      </x:c>
      <x:c r="F8" s="25" t="str"/>
      <x:c r="G8" s="25" t="str">
        <x:v>Not run</x:v>
      </x:c>
      <x:c r="H8" s="25" t="str"/>
      <x:c r="I8" s="25" t="str"/>
      <x:c r="J8" s="15" t="str">
        <x:v>test_source_to_marts_reconciliation</x:v>
      </x:c>
    </x:row>
    <x:row r="9" ht="82" customHeight="1">
      <x:c r="A9" s="2" t="str">
        <x:v>UAT-03</x:v>
      </x:c>
      <x:c r="B9" s="2" t="str">
        <x:v>R02</x:v>
      </x:c>
      <x:c r="C9" s="15" t="str">
        <x:v>Product selection</x:v>
      </x:c>
      <x:c r="D9" s="15" t="str">
        <x:v>Select Credit card only. Compare the displayed total with a matching SQL count.</x:v>
      </x:c>
      <x:c r="E9" s="15" t="str">
        <x:v>Only Credit card records and totals appear.</x:v>
      </x:c>
      <x:c r="F9" s="25" t="str"/>
      <x:c r="G9" s="25" t="str">
        <x:v>Not run</x:v>
      </x:c>
      <x:c r="H9" s="25" t="str"/>
      <x:c r="I9" s="25" t="str"/>
      <x:c r="J9" s="15" t="str">
        <x:v>test_intersecting_filters</x:v>
      </x:c>
    </x:row>
    <x:row r="10" ht="82" customHeight="1">
      <x:c r="A10" s="2" t="str">
        <x:v>UAT-04</x:v>
      </x:c>
      <x:c r="B10" s="2" t="str">
        <x:v>R02</x:v>
      </x:c>
      <x:c r="C10" s="15" t="str">
        <x:v>Empty product selection</x:v>
      </x:c>
      <x:c r="D10" s="15" t="str">
        <x:v>Remove both selected products in Executive overview.</x:v>
      </x:c>
      <x:c r="E10" s="15" t="str">
        <x:v>Count is zero, timely rate is n.a., and the page remains usable.</x:v>
      </x:c>
      <x:c r="F10" s="25" t="str"/>
      <x:c r="G10" s="25" t="str">
        <x:v>Not run</x:v>
      </x:c>
      <x:c r="H10" s="25" t="str"/>
      <x:c r="I10" s="25" t="str"/>
      <x:c r="J10" s="15" t="str">
        <x:v>test_workspaces_filters_and_zero_capacity</x:v>
      </x:c>
    </x:row>
    <x:row r="11" ht="82" customHeight="1">
      <x:c r="A11" s="2" t="str">
        <x:v>UAT-05</x:v>
      </x:c>
      <x:c r="B11" s="2" t="str">
        <x:v>R02</x:v>
      </x:c>
      <x:c r="C11" s="15" t="str">
        <x:v>Filter intersection</x:v>
      </x:c>
      <x:c r="D11" s="15" t="str">
        <x:v>Select a company, a state and a product. Download the matching records.</x:v>
      </x:c>
      <x:c r="E11" s="15" t="str">
        <x:v>Every exported row satisfies all three selections.</x:v>
      </x:c>
      <x:c r="F11" s="25" t="str"/>
      <x:c r="G11" s="25" t="str">
        <x:v>Not run</x:v>
      </x:c>
      <x:c r="H11" s="25" t="str"/>
      <x:c r="I11" s="25" t="str"/>
      <x:c r="J11" s="15" t="str">
        <x:v>test_intersecting_filters</x:v>
      </x:c>
    </x:row>
    <x:row r="12" ht="82" customHeight="1">
      <x:c r="A12" s="2" t="str">
        <x:v>UAT-06</x:v>
      </x:c>
      <x:c r="B12" s="2" t="str">
        <x:v>R02</x:v>
      </x:c>
      <x:c r="C12" s="15" t="str">
        <x:v>Inclusive date boundaries</x:v>
      </x:c>
      <x:c r="D12" s="15" t="str">
        <x:v>Select Jan 1 through Jan 31 of a source year. Compare export minimum/maximum and count with SQL.</x:v>
      </x:c>
      <x:c r="E12" s="15" t="str">
        <x:v>All eligible Jan 1 and Jan 31 records are included; February records are excluded.</x:v>
      </x:c>
      <x:c r="F12" s="25" t="str"/>
      <x:c r="G12" s="25" t="str">
        <x:v>Not run</x:v>
      </x:c>
      <x:c r="H12" s="25" t="str"/>
      <x:c r="I12" s="25" t="str"/>
      <x:c r="J12" s="15" t="str">
        <x:v>test_inclusive_dates</x:v>
      </x:c>
    </x:row>
    <x:row r="13" ht="82" customHeight="1">
      <x:c r="A13" s="2" t="str">
        <x:v>UAT-07</x:v>
      </x:c>
      <x:c r="B13" s="2" t="str">
        <x:v>R03</x:v>
      </x:c>
      <x:c r="C13" s="15" t="str">
        <x:v>Timeliness denominator</x:v>
      </x:c>
      <x:c r="D13" s="15" t="str">
        <x:v>On Response quality, divide Timely Yes by Known Status. Compare with the displayed percentage.</x:v>
      </x:c>
      <x:c r="E13" s="15" t="str">
        <x:v>Yes/(Yes+No) agrees to display precision; unknown records do not enter denominator.</x:v>
      </x:c>
      <x:c r="F13" s="25" t="str"/>
      <x:c r="G13" s="25" t="str">
        <x:v>Not run</x:v>
      </x:c>
      <x:c r="H13" s="25" t="str"/>
      <x:c r="I13" s="25" t="str"/>
      <x:c r="J13" s="15" t="str">
        <x:v>test_rate_excludes_unknown</x:v>
      </x:c>
    </x:row>
    <x:row r="14" ht="82" customHeight="1">
      <x:c r="A14" s="2" t="str">
        <x:v>UAT-08</x:v>
      </x:c>
      <x:c r="B14" s="2" t="str">
        <x:v>R03</x:v>
      </x:c>
      <x:c r="C14" s="15" t="str">
        <x:v>Unknown-only fixture</x:v>
      </x:c>
      <x:c r="D14" s="15" t="str">
        <x:v>Run the documented all-unknown fixture and inspect the result.</x:v>
      </x:c>
      <x:c r="E14" s="15" t="str">
        <x:v>Timely rate is unavailable, not zero or 100%.</x:v>
      </x:c>
      <x:c r="F14" s="25" t="str"/>
      <x:c r="G14" s="25" t="str">
        <x:v>Not run</x:v>
      </x:c>
      <x:c r="H14" s="25" t="str"/>
      <x:c r="I14" s="25" t="str"/>
      <x:c r="J14" s="15" t="str">
        <x:v>test_all_unknown_rate_is_unavailable</x:v>
      </x:c>
    </x:row>
    <x:row r="15" ht="82" customHeight="1">
      <x:c r="A15" s="2" t="str">
        <x:v>UAT-09</x:v>
      </x:c>
      <x:c r="B15" s="2" t="str">
        <x:v>R04</x:v>
      </x:c>
      <x:c r="C15" s="15" t="str">
        <x:v>Missing month fixture</x:v>
      </x:c>
      <x:c r="D15" s="15" t="str">
        <x:v>Execute missing-month fixture with Jan and March records only.</x:v>
      </x:c>
      <x:c r="E15" s="15" t="str">
        <x:v>February remains zero and March percentage change is unavailable after a zero baseline.</x:v>
      </x:c>
      <x:c r="F15" s="25" t="str"/>
      <x:c r="G15" s="25" t="str">
        <x:v>Not run</x:v>
      </x:c>
      <x:c r="H15" s="25" t="str"/>
      <x:c r="I15" s="25" t="str"/>
      <x:c r="J15" s="15" t="str">
        <x:v>test_missing_month_and_zero_baseline</x:v>
      </x:c>
    </x:row>
    <x:row r="16" ht="82" customHeight="1">
      <x:c r="A16" s="2" t="str">
        <x:v>UAT-10</x:v>
      </x:c>
      <x:c r="B16" s="2" t="str">
        <x:v>R04</x:v>
      </x:c>
      <x:c r="C16" s="15" t="str">
        <x:v>Rolling mean</x:v>
      </x:c>
      <x:c r="D16" s="15" t="str">
        <x:v>Use three complete displayed months; manually average their counts.</x:v>
      </x:c>
      <x:c r="E16" s="15" t="str">
        <x:v>Third-month rolling mean agrees; first two rolling values are unavailable.</x:v>
      </x:c>
      <x:c r="F16" s="25" t="str"/>
      <x:c r="G16" s="25" t="str">
        <x:v>Not run</x:v>
      </x:c>
      <x:c r="H16" s="25" t="str"/>
      <x:c r="I16" s="25" t="str"/>
      <x:c r="J16" s="15" t="str">
        <x:v>test_missing_month_and_zero_baseline</x:v>
      </x:c>
    </x:row>
    <x:row r="17" ht="82" customHeight="1">
      <x:c r="A17" s="2" t="str">
        <x:v>UAT-11</x:v>
      </x:c>
      <x:c r="B17" s="2" t="str">
        <x:v>R05</x:v>
      </x:c>
      <x:c r="C17" s="15" t="str">
        <x:v>Issue contribution reconciliation</x:v>
      </x:c>
      <x:c r="D17" s="15" t="str">
        <x:v>Select the last two complete months. Sum every issue change in the download.</x:v>
      </x:c>
      <x:c r="E17" s="15" t="str">
        <x:v>Sum equals comparison-month total less baseline total; waterfall Other issues preserves equality.</x:v>
      </x:c>
      <x:c r="F17" s="25" t="str"/>
      <x:c r="G17" s="25" t="str">
        <x:v>Not run</x:v>
      </x:c>
      <x:c r="H17" s="25" t="str"/>
      <x:c r="I17" s="25" t="str"/>
      <x:c r="J17" s="15" t="str">
        <x:v>test_source_to_marts_reconciliation</x:v>
      </x:c>
    </x:row>
    <x:row r="18" ht="82" customHeight="1">
      <x:c r="A18" s="2" t="str">
        <x:v>UAT-12</x:v>
      </x:c>
      <x:c r="B18" s="2" t="str">
        <x:v>R05</x:v>
      </x:c>
      <x:c r="C18" s="15" t="str">
        <x:v>New/disappearing issue fixture</x:v>
      </x:c>
      <x:c r="D18" s="15" t="str">
        <x:v>Run fixture containing one issue only in January and another only in March.</x:v>
      </x:c>
      <x:c r="E18" s="15" t="str">
        <x:v>Both issues appear; the new issue has no percentage baseline.</x:v>
      </x:c>
      <x:c r="F18" s="25" t="str"/>
      <x:c r="G18" s="25" t="str">
        <x:v>Not run</x:v>
      </x:c>
      <x:c r="H18" s="25" t="str"/>
      <x:c r="I18" s="25" t="str"/>
      <x:c r="J18" s="15" t="str">
        <x:v>test_new_and_disappearing_issues</x:v>
      </x:c>
    </x:row>
    <x:row r="19" ht="82" customHeight="1">
      <x:c r="A19" s="2" t="str">
        <x:v>UAT-13</x:v>
      </x:c>
      <x:c r="B19" s="2" t="str">
        <x:v>R05</x:v>
      </x:c>
      <x:c r="C19" s="15" t="str">
        <x:v>Threshold boundary</x:v>
      </x:c>
      <x:c r="D19" s="15" t="str">
        <x:v>Execute a fixture with counts 4 and 5; set minimum 4 and growth 25%. Repeat with minimum 5.</x:v>
      </x:c>
      <x:c r="E19" s="15" t="str">
        <x:v>First result is flagged; second is not.</x:v>
      </x:c>
      <x:c r="F19" s="25" t="str"/>
      <x:c r="G19" s="25" t="str">
        <x:v>Not run</x:v>
      </x:c>
      <x:c r="H19" s="25" t="str"/>
      <x:c r="I19" s="25" t="str"/>
      <x:c r="J19" s="15" t="str">
        <x:v>test_flag_threshold_inclusive</x:v>
      </x:c>
    </x:row>
    <x:row r="20" ht="82" customHeight="1">
      <x:c r="A20" s="2" t="str">
        <x:v>UAT-14</x:v>
      </x:c>
      <x:c r="B20" s="2" t="str">
        <x:v>R06</x:v>
      </x:c>
      <x:c r="C20" s="15" t="str">
        <x:v>Queue membership</x:v>
      </x:c>
      <x:c r="D20" s="15" t="str">
        <x:v>Open Review planning. Download its queue and inspect source timeliness for every ID.</x:v>
      </x:c>
      <x:c r="E20" s="15" t="str">
        <x:v>Every row is No, ordered newest date then ID; no inferred unresolved status.</x:v>
      </x:c>
      <x:c r="F20" s="25" t="str"/>
      <x:c r="G20" s="25" t="str">
        <x:v>Not run</x:v>
      </x:c>
      <x:c r="H20" s="25" t="str"/>
      <x:c r="I20" s="25" t="str"/>
      <x:c r="J20" s="15" t="str">
        <x:v>test_queue_explicit_no_only</x:v>
      </x:c>
    </x:row>
    <x:row r="21" ht="82" customHeight="1">
      <x:c r="A21" s="2" t="str">
        <x:v>UAT-15</x:v>
      </x:c>
      <x:c r="B21" s="2" t="str">
        <x:v>R07</x:v>
      </x:c>
      <x:c r="C21" s="15" t="str">
        <x:v>Capacity base case</x:v>
      </x:c>
      <x:c r="D21" s="15" t="str">
        <x:v>Set two reviewers, 20 hours, 30 minutes and 75% productive time.</x:v>
      </x:c>
      <x:c r="E21" s="15" t="str">
        <x:v>Weekly capacity is 60 reviews.</x:v>
      </x:c>
      <x:c r="F21" s="25" t="str"/>
      <x:c r="G21" s="25" t="str">
        <x:v>Not run</x:v>
      </x:c>
      <x:c r="H21" s="25" t="str"/>
      <x:c r="I21" s="25" t="str"/>
      <x:c r="J21" s="15" t="str">
        <x:v>test_capacity_boundaries</x:v>
      </x:c>
    </x:row>
    <x:row r="22" ht="82" customHeight="1">
      <x:c r="A22" s="2" t="str">
        <x:v>UAT-16</x:v>
      </x:c>
      <x:c r="B22" s="2" t="str">
        <x:v>R07</x:v>
      </x:c>
      <x:c r="C22" s="15" t="str">
        <x:v>Zero reviewers</x:v>
      </x:c>
      <x:c r="D22" s="15" t="str">
        <x:v>Set Reviewers to zero on Review planning.</x:v>
      </x:c>
      <x:c r="E22" s="15" t="str">
        <x:v>Capacity is zero and all selected records remain.</x:v>
      </x:c>
      <x:c r="F22" s="25" t="str"/>
      <x:c r="G22" s="25" t="str">
        <x:v>Not run</x:v>
      </x:c>
      <x:c r="H22" s="25" t="str"/>
      <x:c r="I22" s="25" t="str"/>
      <x:c r="J22" s="15" t="str">
        <x:v>test_workspaces_filters_and_zero_capacity</x:v>
      </x:c>
    </x:row>
    <x:row r="23" ht="82" customHeight="1">
      <x:c r="A23" s="2" t="str">
        <x:v>UAT-17</x:v>
      </x:c>
      <x:c r="B23" s="2" t="str">
        <x:v>R07</x:v>
      </x:c>
      <x:c r="C23" s="15" t="str">
        <x:v>Excess capacity</x:v>
      </x:c>
      <x:c r="D23" s="15" t="str">
        <x:v>Choose inputs with capacity greater than the queue count.</x:v>
      </x:c>
      <x:c r="E23" s="15" t="str">
        <x:v>Remaining is zero, never negative.</x:v>
      </x:c>
      <x:c r="F23" s="25" t="str"/>
      <x:c r="G23" s="25" t="str">
        <x:v>Not run</x:v>
      </x:c>
      <x:c r="H23" s="25" t="str"/>
      <x:c r="I23" s="25" t="str"/>
      <x:c r="J23" s="15" t="str">
        <x:v>test_capacity_boundaries</x:v>
      </x:c>
    </x:row>
    <x:row r="24" ht="82" customHeight="1">
      <x:c r="A24" s="2" t="str">
        <x:v>UAT-18</x:v>
      </x:c>
      <x:c r="B24" s="2" t="str">
        <x:v>R08</x:v>
      </x:c>
      <x:c r="C24" s="15" t="str">
        <x:v>Excel population reconciliation</x:v>
      </x:c>
      <x:c r="D24" s="15" t="str">
        <x:v>Open the workbook. Compare Overview count and rate to quality.json complete values.</x:v>
      </x:c>
      <x:c r="E24" s="15" t="str">
        <x:v>Counts agree exactly; rate agrees to display precision.</x:v>
      </x:c>
      <x:c r="F24" s="25" t="str"/>
      <x:c r="G24" s="25" t="str">
        <x:v>Not run</x:v>
      </x:c>
      <x:c r="H24" s="25" t="str"/>
      <x:c r="I24" s="25" t="str"/>
      <x:c r="J24" s="15" t="str">
        <x:v>reports/excel_verification.json</x:v>
      </x:c>
    </x:row>
    <x:row r="25" ht="82" customHeight="1">
      <x:c r="A25" s="2" t="str">
        <x:v>UAT-19</x:v>
      </x:c>
      <x:c r="B25" s="2" t="str">
        <x:v>R08</x:v>
      </x:c>
      <x:c r="C25" s="15" t="str">
        <x:v>Excel live formulas</x:v>
      </x:c>
      <x:c r="D25" s="15" t="str">
        <x:v>Change Analysis product selector and Capacity reviewer count. Restore defaults afterward.</x:v>
      </x:c>
      <x:c r="E25" s="15" t="str">
        <x:v>Linked counts/charts and capacity results recalculate; source observations remain unchanged.</x:v>
      </x:c>
      <x:c r="F25" s="25" t="str"/>
      <x:c r="G25" s="25" t="str">
        <x:v>Not run</x:v>
      </x:c>
      <x:c r="H25" s="25" t="str"/>
      <x:c r="I25" s="25" t="str"/>
      <x:c r="J25" s="15" t="str">
        <x:v>reports/excel_verification.json</x:v>
      </x:c>
    </x:row>
    <x:row r="26" ht="82" customHeight="1">
      <x:c r="A26" s="2" t="str">
        <x:v>UAT-20</x:v>
      </x:c>
      <x:c r="B26" s="2" t="str">
        <x:v>R08</x:v>
      </x:c>
      <x:c r="C26" s="15" t="str">
        <x:v>Excel detail lookup</x:v>
      </x:c>
      <x:c r="D26" s="15" t="str">
        <x:v>Inspect a Detail product and its mapped review team; change the matching Lookups team in a disposable copy.</x:v>
      </x:c>
      <x:c r="E26" s="15" t="str">
        <x:v>XLOOKUP updates the matching rows; mapping is labeled simulated.</x:v>
      </x:c>
      <x:c r="F26" s="25" t="str"/>
      <x:c r="G26" s="25" t="str">
        <x:v>Not run</x:v>
      </x:c>
      <x:c r="H26" s="25" t="str"/>
      <x:c r="I26" s="25" t="str"/>
      <x:c r="J26" s="15" t="str">
        <x:v>reports/excel_verification.json</x:v>
      </x:c>
    </x:row>
    <x:row r="27" ht="82" customHeight="1">
      <x:c r="A27" s="2" t="str">
        <x:v>UAT-21</x:v>
      </x:c>
      <x:c r="B27" s="2" t="str">
        <x:v>R09</x:v>
      </x:c>
      <x:c r="C27" s="15" t="str">
        <x:v>UAT status integrity</x:v>
      </x:c>
      <x:c r="D27" s="15" t="str">
        <x:v>Inspect test status, actual result, reviewer and sign-off fields.</x:v>
      </x:c>
      <x:c r="E27" s="15" t="str">
        <x:v>Unexecuted human tests remain Not run; automated evidence is separately identified.</x:v>
      </x:c>
      <x:c r="F27" s="25" t="str"/>
      <x:c r="G27" s="25" t="str">
        <x:v>Not run</x:v>
      </x:c>
      <x:c r="H27" s="25" t="str"/>
      <x:c r="I27" s="25" t="str"/>
      <x:c r="J27" s="15" t="str">
        <x:v>docs/uat_cases.csv</x:v>
      </x:c>
    </x:row>
    <x:row r="28" ht="82" customHeight="1">
      <x:c r="A28" s="2" t="str">
        <x:v>UAT-22</x:v>
      </x:c>
      <x:c r="B28" s="2" t="str">
        <x:v>R10</x:v>
      </x:c>
      <x:c r="C28" s="15" t="str">
        <x:v>Download reconciliation</x:v>
      </x:c>
      <x:c r="D28" s="15" t="str">
        <x:v>Apply filters, download CSV, count rows and compare to the displayed matching count.</x:v>
      </x:c>
      <x:c r="E28" s="15" t="str">
        <x:v>Count and IDs agree; formula-like strings are escaped.</x:v>
      </x:c>
      <x:c r="F28" s="25" t="str"/>
      <x:c r="G28" s="25" t="str">
        <x:v>Not run</x:v>
      </x:c>
      <x:c r="H28" s="25" t="str"/>
      <x:c r="I28" s="25" t="str"/>
      <x:c r="J28" s="15" t="str">
        <x:v>test_csv_formula_injection</x:v>
      </x:c>
    </x:row>
    <x:row r="29" ht="82" customHeight="1">
      <x:c r="A29" s="2" t="str">
        <x:v>UAT-23</x:v>
      </x:c>
      <x:c r="B29" s="2" t="str">
        <x:v>R11</x:v>
      </x:c>
      <x:c r="C29" s="15" t="str">
        <x:v>Source contract failure</x:v>
      </x:c>
      <x:c r="D29" s="15" t="str">
        <x:v>In a disposable fixture, duplicate an ID or change a source hash. Run validation.</x:v>
      </x:c>
      <x:c r="E29" s="15" t="str">
        <x:v>Build fails with a clear contract message; it does not silently publish changed totals.</x:v>
      </x:c>
      <x:c r="F29" s="25" t="str"/>
      <x:c r="G29" s="25" t="str">
        <x:v>Not run</x:v>
      </x:c>
      <x:c r="H29" s="25" t="str"/>
      <x:c r="I29" s="25" t="str"/>
      <x:c r="J29" s="15" t="str">
        <x:v>test_duplicate_id_rejected</x:v>
      </x:c>
    </x:row>
    <x:row r="30" ht="82" customHeight="1">
      <x:c r="A30" s="2" t="str">
        <x:v>UAT-24</x:v>
      </x:c>
      <x:c r="B30" s="2" t="str">
        <x:v>R12</x:v>
      </x:c>
      <x:c r="C30" s="15" t="str">
        <x:v>Usability and navigation</x:v>
      </x:c>
      <x:c r="D30" s="15" t="str">
        <x:v>Open all five workspaces at normal browser size; inspect controls, captions and empty states.</x:v>
      </x:c>
      <x:c r="E30" s="15" t="str">
        <x:v>Navigation works; data definitions and context are visible; no application exceptions.</x:v>
      </x:c>
      <x:c r="F30" s="25" t="str"/>
      <x:c r="G30" s="25" t="str">
        <x:v>Not run</x:v>
      </x:c>
      <x:c r="H30" s="25" t="str"/>
      <x:c r="I30" s="25" t="str"/>
      <x:c r="J30" s="15" t="str">
        <x:v>test_workspaces_filters_and_zero_capacity</x:v>
      </x:c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</x:sheetData>
  <x:conditionalFormatting sqref="G7:G30">
    <x:cfRule type="containsText" dxfId="2" priority="1" operator="containsText" text="Fail"/>
  </x:conditionalFormatting>
  <x:dataValidations count="1">
    <x:dataValidation type="list" sqref="G7:G30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4fa87a300540ef"/>
  </x:tableParts>
</x:worksheet>
</file>

<file path=xl/worksheets/sheet9.xml><?xml version="1.0" encoding="utf-8"?>
<x:worksheet xmlns:x="http://schemas.openxmlformats.org/spreadsheetml/2006/main">
  <x:sheetPr>
    <x:tabColor rgb="FFB8B8B0"/>
  </x:sheetPr>
  <x:sheetViews>
    <x:sheetView showGridLines="0" workbookViewId="0"/>
  </x:sheetViews>
  <x:sheetFormatPr defaultRowHeight="15"/>
  <x:cols>
    <x:col min="1" max="1" width="20" hidden="0" customWidth="1"/>
    <x:col min="2" max="2" width="10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Workbook guide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5"/>
      <x:c r="J3" s="5"/>
      <x:c r="K3" s="5"/>
      <x:c r="L3" s="5"/>
    </x:row>
    <x:row r="4" ht="23" customHeight="1">
      <x:c r="A4" s="2"/>
      <x:c r="B4" s="2"/>
      <x:c r="C4" s="2"/>
      <x:c r="D4" s="2"/>
      <x:c r="E4" s="2"/>
      <x:c r="F4" s="2"/>
      <x:c r="G4" s="2"/>
      <x:c r="H4" s="2"/>
    </x:row>
    <x:row r="5" ht="45" customHeight="1">
      <x:c r="A5" s="2" t="str">
        <x:v>Purpose</x:v>
      </x:c>
      <x:c r="B5" s="15" t="str">
        <x:v>Analyze published banking complaints and practice an auditable business analysis workflow.</x:v>
      </x:c>
      <x:c r="C5" s="2"/>
      <x:c r="D5" s="2"/>
      <x:c r="E5" s="2"/>
      <x:c r="F5" s="2"/>
      <x:c r="G5" s="2"/>
      <x:c r="H5" s="2"/>
    </x:row>
    <x:row r="6" ht="45" customHeight="1">
      <x:c r="A6" s="2" t="str">
        <x:v>Source</x:v>
      </x:c>
      <x:c r="B6" s="15" t="str">
        <x:v>CFPB Consumer Complaint Database. https://www.consumerfinance.gov/data-research/consumer-complaints/</x:v>
      </x:c>
      <x:c r="C6" s="2"/>
      <x:c r="D6" s="2"/>
      <x:c r="E6" s="2"/>
      <x:c r="F6" s="2"/>
      <x:c r="G6" s="2"/>
      <x:c r="H6" s="2"/>
    </x:row>
    <x:row r="7" ht="45" customHeight="1">
      <x:c r="A7" s="2" t="str">
        <x:v>Snapshot</x:v>
      </x:c>
      <x:c r="B7" s="15" t="str">
        <x:v>2026-10-19; complete months 2024-10-01 to 2026-09.</x:v>
      </x:c>
      <x:c r="C7" s="2"/>
      <x:c r="D7" s="2"/>
      <x:c r="E7" s="2"/>
      <x:c r="F7" s="2"/>
      <x:c r="G7" s="2"/>
      <x:c r="H7" s="2"/>
    </x:row>
    <x:row r="8" ht="45" customHeight="1">
      <x:c r="A8" s="2" t="str">
        <x:v>Population</x:v>
      </x:c>
      <x:c r="B8" s="15" t="str">
        <x:v>351490 records across 24 complete months. Partial month excluded from analysis.</x:v>
      </x:c>
      <x:c r="C8" s="2"/>
      <x:c r="D8" s="2"/>
      <x:c r="E8" s="2"/>
      <x:c r="F8" s="2"/>
      <x:c r="G8" s="2"/>
      <x:c r="H8" s="2"/>
    </x:row>
    <x:row r="9" ht="45" customHeight="1">
      <x:c r="A9" s="2" t="str">
        <x:v>Detail extract</x:v>
      </x:c>
      <x:c r="B9" s="15" t="str">
        <x:v>Newest 500 complete-month records. Not representative; do not extrapolate its percentages.</x:v>
      </x:c>
      <x:c r="C9" s="2"/>
      <x:c r="D9" s="2"/>
      <x:c r="E9" s="2"/>
      <x:c r="F9" s="2"/>
      <x:c r="G9" s="2"/>
      <x:c r="H9" s="2"/>
    </x:row>
    <x:row r="10" ht="45" customHeight="1">
      <x:c r="A10" s="2" t="str">
        <x:v>Rates</x:v>
      </x:c>
      <x:c r="B10" s="15" t="str">
        <x:v>Timely Yes / (Yes + No). Unknown statuses remain separate. No resolution duration is inferred.</x:v>
      </x:c>
      <x:c r="C10" s="2"/>
      <x:c r="D10" s="2"/>
      <x:c r="E10" s="2"/>
      <x:c r="F10" s="2"/>
      <x:c r="G10" s="2"/>
      <x:c r="H10" s="2"/>
    </x:row>
    <x:row r="11" ht="45" customHeight="1">
      <x:c r="A11" s="2" t="str">
        <x:v>Controls</x:v>
      </x:c>
      <x:c r="B11" s="15" t="str">
        <x:v>Analysis B4 selects product. Capacity B9:B12 are assumptions. Amber cells are editable.</x:v>
      </x:c>
      <x:c r="C11" s="2"/>
      <x:c r="D11" s="2"/>
      <x:c r="E11" s="2"/>
      <x:c r="F11" s="2"/>
      <x:c r="G11" s="2"/>
      <x:c r="H11" s="2"/>
    </x:row>
    <x:row r="12" ht="45" customHeight="1">
      <x:c r="A12" s="2" t="str">
        <x:v>Lookups</x:v>
      </x:c>
      <x:c r="B12" s="15" t="str">
        <x:v>Detail uses XLOOKUP into the simulated team mapping. Identifiers remain text.</x:v>
      </x:c>
      <x:c r="C12" s="2"/>
      <x:c r="D12" s="2"/>
      <x:c r="E12" s="2"/>
      <x:c r="F12" s="2"/>
      <x:c r="G12" s="2"/>
      <x:c r="H12" s="2"/>
    </x:row>
    <x:row r="13" ht="45" customHeight="1">
      <x:c r="A13" s="2" t="str">
        <x:v>Pivot</x:v>
      </x:c>
      <x:c r="B13" s="15" t="str">
        <x:v>Pivot Analysis contains a native PivotTable and product filter. Refresh it after source changes.</x:v>
      </x:c>
      <x:c r="C13" s="2"/>
      <x:c r="D13" s="2"/>
      <x:c r="E13" s="2"/>
      <x:c r="F13" s="2"/>
      <x:c r="G13" s="2"/>
      <x:c r="H13" s="2"/>
    </x:row>
    <x:row r="14" ht="45" customHeight="1">
      <x:c r="A14" s="2" t="str">
        <x:v>Refresh</x:v>
      </x:c>
      <x:c r="B14" s="15" t="str">
        <x:v>Rebuild the pipeline and workbook from the frozen source, or replace matching source table rows and refresh calculations/pivots.</x:v>
      </x:c>
      <x:c r="C14" s="2"/>
      <x:c r="D14" s="2"/>
      <x:c r="E14" s="2"/>
      <x:c r="F14" s="2"/>
      <x:c r="G14" s="2"/>
      <x:c r="H14" s="2"/>
    </x:row>
    <x:row r="15" ht="45" customHeight="1">
      <x:c r="A15" s="2" t="str">
        <x:v>UAT</x:v>
      </x:c>
      <x:c r="B15" s="15" t="str">
        <x:v>Human test statuses start Not run. Enter actual results, reviewer and evidence after executing a case.</x:v>
      </x:c>
      <x:c r="C15" s="2"/>
      <x:c r="D15" s="2"/>
      <x:c r="E15" s="2"/>
      <x:c r="F15" s="2"/>
      <x:c r="G15" s="2"/>
      <x:c r="H15" s="2"/>
    </x:row>
    <x:row r="16" ht="45" customHeight="1">
      <x:c r="A16" s="2" t="str">
        <x:v>Limits</x:v>
      </x:c>
      <x:c r="B16" s="15" t="str">
        <x:v>Complaint counts are not customer incidence, market share, legal findings, or an unresolved backlog.</x:v>
      </x:c>
      <x:c r="C16" s="2"/>
      <x:c r="D16" s="2"/>
      <x:c r="E16" s="2"/>
      <x:c r="F16" s="2"/>
      <x:c r="G16" s="2"/>
      <x:c r="H16" s="2"/>
    </x:row>
    <x:row r="17" ht="45" customHeight="1">
      <x:c r="A17" s="2" t="str">
        <x:v>Review checks</x:v>
      </x:c>
      <x:c r="B17" s="15" t="str">
        <x:v>Analysis J18:J20 compare source totals with independent pipeline controls. Zero means reconciled.</x:v>
      </x:c>
      <x:c r="C17" s="2"/>
      <x:c r="D17" s="2"/>
      <x:c r="E17" s="2"/>
      <x:c r="F17" s="2"/>
      <x:c r="G17" s="2"/>
      <x:c r="H17" s="2"/>
    </x:row>
    <x:row r="18" ht="45" customHeight="1">
      <x:c r="A18" s="2" t="str">
        <x:v>Verification</x:v>
      </x:c>
      <x:c r="B18" s="15" t="str">
        <x:v>Formula calculations, input changes, charts and workbook package structure are checked. See reports/excel_verification.json for native Excel verification status.</x:v>
      </x:c>
      <x:c r="C18" s="2"/>
      <x:c r="D18" s="2"/>
      <x:c r="E18" s="2"/>
      <x:c r="F18" s="2"/>
      <x:c r="G18" s="2"/>
      <x:c r="H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</x:row>
  </x:sheetData>
  <x:pageMargins left="0.7" right="0.7" top="0.75" bottom="0.75" header="0.3" footer="0.3"/>
</x:worksheet>
</file>